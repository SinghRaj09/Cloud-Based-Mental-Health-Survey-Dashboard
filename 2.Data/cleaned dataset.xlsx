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ngh\Desktop\Mental Health survey\"/>
    </mc:Choice>
  </mc:AlternateContent>
  <xr:revisionPtr revIDLastSave="0" documentId="13_ncr:1_{9FD25A91-7AE2-408C-BD3E-EDE17705106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24" i="1" l="1"/>
  <c r="S124" i="1" a="1"/>
  <c r="Q124" i="1" a="1"/>
  <c r="Q124" i="1" s="1"/>
  <c r="O124" i="1" a="1"/>
  <c r="O124" i="1" s="1"/>
  <c r="M124" i="1"/>
  <c r="M124" i="1" a="1"/>
  <c r="J124" i="1"/>
  <c r="J124" i="1" a="1"/>
  <c r="H124" i="1"/>
  <c r="S123" i="1"/>
  <c r="S123" i="1" a="1"/>
  <c r="Q123" i="1" a="1"/>
  <c r="Q123" i="1" s="1"/>
  <c r="O123" i="1" a="1"/>
  <c r="O123" i="1" s="1"/>
  <c r="M123" i="1" a="1"/>
  <c r="M123" i="1" s="1"/>
  <c r="J123" i="1" a="1"/>
  <c r="J123" i="1" s="1"/>
  <c r="H123" i="1"/>
  <c r="S122" i="1" a="1"/>
  <c r="S122" i="1" s="1"/>
  <c r="Q122" i="1"/>
  <c r="Q122" i="1" a="1"/>
  <c r="O122" i="1"/>
  <c r="O122" i="1" a="1"/>
  <c r="M122" i="1"/>
  <c r="M122" i="1" a="1"/>
  <c r="J122" i="1"/>
  <c r="J122" i="1" a="1"/>
  <c r="H122" i="1"/>
  <c r="S121" i="1"/>
  <c r="S121" i="1" a="1"/>
  <c r="Q121" i="1"/>
  <c r="Q121" i="1" a="1"/>
  <c r="O121" i="1"/>
  <c r="O121" i="1" a="1"/>
  <c r="M121" i="1" a="1"/>
  <c r="M121" i="1" s="1"/>
  <c r="J121" i="1" a="1"/>
  <c r="J121" i="1" s="1"/>
  <c r="H121" i="1"/>
  <c r="S120" i="1"/>
  <c r="S120" i="1" a="1"/>
  <c r="Q120" i="1"/>
  <c r="Q120" i="1" a="1"/>
  <c r="O120" i="1"/>
  <c r="O120" i="1" a="1"/>
  <c r="M120" i="1"/>
  <c r="M120" i="1" a="1"/>
  <c r="J120" i="1"/>
  <c r="J120" i="1" a="1"/>
  <c r="H120" i="1"/>
  <c r="S119" i="1" a="1"/>
  <c r="S119" i="1" s="1"/>
  <c r="Q119" i="1" a="1"/>
  <c r="Q119" i="1" s="1"/>
  <c r="O119" i="1"/>
  <c r="O119" i="1" a="1"/>
  <c r="M119" i="1"/>
  <c r="M119" i="1" a="1"/>
  <c r="J119" i="1" a="1"/>
  <c r="J119" i="1" s="1"/>
  <c r="H119" i="1"/>
  <c r="S118" i="1"/>
  <c r="S118" i="1" a="1"/>
  <c r="Q118" i="1"/>
  <c r="Q118" i="1" a="1"/>
  <c r="O118" i="1"/>
  <c r="O118" i="1" a="1"/>
  <c r="M118" i="1"/>
  <c r="M118" i="1" a="1"/>
  <c r="J118" i="1"/>
  <c r="J118" i="1" a="1"/>
  <c r="H118" i="1"/>
  <c r="S117" i="1" a="1"/>
  <c r="S117" i="1" s="1"/>
  <c r="Q117" i="1" a="1"/>
  <c r="Q117" i="1" s="1"/>
  <c r="O117" i="1"/>
  <c r="O117" i="1" a="1"/>
  <c r="M117" i="1"/>
  <c r="M117" i="1" a="1"/>
  <c r="J117" i="1"/>
  <c r="J117" i="1" a="1"/>
  <c r="H117" i="1"/>
  <c r="S116" i="1"/>
  <c r="S116" i="1" a="1"/>
  <c r="Q116" i="1"/>
  <c r="Q116" i="1" a="1"/>
  <c r="O116" i="1"/>
  <c r="O116" i="1" a="1"/>
  <c r="M116" i="1"/>
  <c r="M116" i="1" a="1"/>
  <c r="J116" i="1"/>
  <c r="J116" i="1" a="1"/>
  <c r="H116" i="1"/>
  <c r="S115" i="1" a="1"/>
  <c r="S115" i="1" s="1"/>
  <c r="Q115" i="1" a="1"/>
  <c r="Q115" i="1" s="1"/>
  <c r="O115" i="1" a="1"/>
  <c r="O115" i="1" s="1"/>
  <c r="M115" i="1"/>
  <c r="M115" i="1" a="1"/>
  <c r="J115" i="1"/>
  <c r="J115" i="1" a="1"/>
  <c r="H115" i="1"/>
  <c r="S114" i="1"/>
  <c r="S114" i="1" a="1"/>
  <c r="Q114" i="1"/>
  <c r="Q114" i="1" a="1"/>
  <c r="O114" i="1"/>
  <c r="O114" i="1" a="1"/>
  <c r="M114" i="1"/>
  <c r="M114" i="1" a="1"/>
  <c r="J114" i="1"/>
  <c r="J114" i="1" a="1"/>
  <c r="H114" i="1"/>
  <c r="S113" i="1"/>
  <c r="S113" i="1" a="1"/>
  <c r="Q113" i="1" a="1"/>
  <c r="Q113" i="1" s="1"/>
  <c r="O113" i="1" a="1"/>
  <c r="O113" i="1" s="1"/>
  <c r="M113" i="1" a="1"/>
  <c r="M113" i="1" s="1"/>
  <c r="J113" i="1"/>
  <c r="J113" i="1" a="1"/>
  <c r="H113" i="1"/>
  <c r="S112" i="1"/>
  <c r="S112" i="1" a="1"/>
  <c r="Q112" i="1" a="1"/>
  <c r="Q112" i="1" s="1"/>
  <c r="O112" i="1"/>
  <c r="O112" i="1" a="1"/>
  <c r="M112" i="1" a="1"/>
  <c r="M112" i="1" s="1"/>
  <c r="J112" i="1"/>
  <c r="J112" i="1" a="1"/>
  <c r="H112" i="1"/>
  <c r="S111" i="1"/>
  <c r="S111" i="1" a="1"/>
  <c r="Q111" i="1"/>
  <c r="Q111" i="1" a="1"/>
  <c r="O111" i="1" a="1"/>
  <c r="O111" i="1" s="1"/>
  <c r="M111" i="1" a="1"/>
  <c r="M111" i="1" s="1"/>
  <c r="J111" i="1" a="1"/>
  <c r="J111" i="1" s="1"/>
  <c r="H111" i="1"/>
  <c r="S110" i="1"/>
  <c r="S110" i="1" a="1"/>
  <c r="Q110" i="1"/>
  <c r="Q110" i="1" a="1"/>
  <c r="O110" i="1" a="1"/>
  <c r="O110" i="1" s="1"/>
  <c r="M110" i="1"/>
  <c r="M110" i="1" a="1"/>
  <c r="J110" i="1" a="1"/>
  <c r="J110" i="1" s="1"/>
  <c r="H110" i="1"/>
  <c r="S109" i="1"/>
  <c r="S109" i="1" a="1"/>
  <c r="Q109" i="1"/>
  <c r="Q109" i="1" a="1"/>
  <c r="O109" i="1"/>
  <c r="O109" i="1" a="1"/>
  <c r="M109" i="1" a="1"/>
  <c r="M109" i="1" s="1"/>
  <c r="J109" i="1" a="1"/>
  <c r="J109" i="1" s="1"/>
  <c r="H109" i="1"/>
  <c r="S108" i="1"/>
  <c r="S108" i="1" a="1"/>
  <c r="Q108" i="1"/>
  <c r="Q108" i="1" a="1"/>
  <c r="O108" i="1"/>
  <c r="O108" i="1" a="1"/>
  <c r="M108" i="1" a="1"/>
  <c r="M108" i="1" s="1"/>
  <c r="J108" i="1"/>
  <c r="J108" i="1" a="1"/>
  <c r="H108" i="1"/>
  <c r="S107" i="1" a="1"/>
  <c r="S107" i="1" s="1"/>
  <c r="Q107" i="1"/>
  <c r="Q107" i="1" a="1"/>
  <c r="O107" i="1"/>
  <c r="O107" i="1" a="1"/>
  <c r="M107" i="1"/>
  <c r="M107" i="1" a="1"/>
  <c r="J107" i="1" a="1"/>
  <c r="J107" i="1" s="1"/>
  <c r="H107" i="1"/>
  <c r="S106" i="1" a="1"/>
  <c r="S106" i="1" s="1"/>
  <c r="Q106" i="1"/>
  <c r="Q106" i="1" a="1"/>
  <c r="O106" i="1"/>
  <c r="O106" i="1" a="1"/>
  <c r="M106" i="1"/>
  <c r="M106" i="1" a="1"/>
  <c r="J106" i="1" a="1"/>
  <c r="J106" i="1" s="1"/>
  <c r="H106" i="1"/>
  <c r="S105" i="1" a="1"/>
  <c r="S105" i="1" s="1"/>
  <c r="Q105" i="1" a="1"/>
  <c r="Q105" i="1" s="1"/>
  <c r="O105" i="1"/>
  <c r="O105" i="1" a="1"/>
  <c r="M105" i="1"/>
  <c r="M105" i="1" a="1"/>
  <c r="J105" i="1"/>
  <c r="J105" i="1" a="1"/>
  <c r="H105" i="1"/>
  <c r="S104" i="1"/>
  <c r="S104" i="1" a="1"/>
  <c r="Q104" i="1" a="1"/>
  <c r="Q104" i="1" s="1"/>
  <c r="O104" i="1"/>
  <c r="O104" i="1" a="1"/>
  <c r="M104" i="1"/>
  <c r="M104" i="1" a="1"/>
  <c r="J104" i="1"/>
  <c r="J104" i="1" a="1"/>
  <c r="H104" i="1"/>
  <c r="S103" i="1" a="1"/>
  <c r="S103" i="1" s="1"/>
  <c r="Q103" i="1" a="1"/>
  <c r="Q103" i="1" s="1"/>
  <c r="O103" i="1" a="1"/>
  <c r="O103" i="1" s="1"/>
  <c r="M103" i="1"/>
  <c r="M103" i="1" a="1"/>
  <c r="J103" i="1"/>
  <c r="J103" i="1" a="1"/>
  <c r="H103" i="1"/>
  <c r="S102" i="1" a="1"/>
  <c r="S102" i="1" s="1"/>
  <c r="Q102" i="1"/>
  <c r="Q102" i="1" a="1"/>
  <c r="O102" i="1" a="1"/>
  <c r="O102" i="1" s="1"/>
  <c r="M102" i="1"/>
  <c r="M102" i="1" a="1"/>
  <c r="J102" i="1"/>
  <c r="J102" i="1" a="1"/>
  <c r="H102" i="1"/>
  <c r="S101" i="1"/>
  <c r="S101" i="1" a="1"/>
  <c r="Q101" i="1" a="1"/>
  <c r="Q101" i="1" s="1"/>
  <c r="O101" i="1" a="1"/>
  <c r="O101" i="1" s="1"/>
  <c r="M101" i="1" a="1"/>
  <c r="M101" i="1" s="1"/>
  <c r="J101" i="1"/>
  <c r="J101" i="1" a="1"/>
  <c r="H101" i="1"/>
  <c r="S100" i="1"/>
  <c r="S100" i="1" a="1"/>
  <c r="Q100" i="1" a="1"/>
  <c r="Q100" i="1" s="1"/>
  <c r="O100" i="1"/>
  <c r="O100" i="1" a="1"/>
  <c r="M100" i="1" a="1"/>
  <c r="M100" i="1" s="1"/>
  <c r="J100" i="1"/>
  <c r="J100" i="1" a="1"/>
  <c r="H100" i="1"/>
  <c r="S99" i="1"/>
  <c r="S99" i="1" a="1"/>
  <c r="Q99" i="1"/>
  <c r="Q99" i="1" a="1"/>
  <c r="O99" i="1" a="1"/>
  <c r="O99" i="1" s="1"/>
  <c r="M99" i="1" a="1"/>
  <c r="M99" i="1" s="1"/>
  <c r="J99" i="1" a="1"/>
  <c r="J99" i="1" s="1"/>
  <c r="H99" i="1"/>
  <c r="S98" i="1"/>
  <c r="S98" i="1" a="1"/>
  <c r="Q98" i="1"/>
  <c r="Q98" i="1" a="1"/>
  <c r="O98" i="1" a="1"/>
  <c r="O98" i="1" s="1"/>
  <c r="M98" i="1"/>
  <c r="M98" i="1" a="1"/>
  <c r="J98" i="1" a="1"/>
  <c r="J98" i="1" s="1"/>
  <c r="H98" i="1"/>
  <c r="S97" i="1"/>
  <c r="S97" i="1" a="1"/>
  <c r="Q97" i="1"/>
  <c r="Q97" i="1" a="1"/>
  <c r="O97" i="1"/>
  <c r="O97" i="1" a="1"/>
  <c r="M97" i="1" a="1"/>
  <c r="M97" i="1" s="1"/>
  <c r="J97" i="1" a="1"/>
  <c r="J97" i="1" s="1"/>
  <c r="H97" i="1"/>
  <c r="S96" i="1"/>
  <c r="S96" i="1" a="1"/>
  <c r="Q96" i="1"/>
  <c r="Q96" i="1" a="1"/>
  <c r="O96" i="1"/>
  <c r="O96" i="1" a="1"/>
  <c r="M96" i="1" a="1"/>
  <c r="M96" i="1" s="1"/>
  <c r="J96" i="1"/>
  <c r="J96" i="1" a="1"/>
  <c r="H96" i="1"/>
  <c r="S95" i="1" a="1"/>
  <c r="S95" i="1" s="1"/>
  <c r="Q95" i="1"/>
  <c r="Q95" i="1" a="1"/>
  <c r="O95" i="1"/>
  <c r="O95" i="1" a="1"/>
  <c r="M95" i="1"/>
  <c r="M95" i="1" a="1"/>
  <c r="J95" i="1" a="1"/>
  <c r="J95" i="1" s="1"/>
  <c r="H95" i="1"/>
  <c r="S94" i="1" a="1"/>
  <c r="S94" i="1" s="1"/>
  <c r="Q94" i="1"/>
  <c r="Q94" i="1" a="1"/>
  <c r="O94" i="1"/>
  <c r="O94" i="1" a="1"/>
  <c r="M94" i="1"/>
  <c r="M94" i="1" a="1"/>
  <c r="J94" i="1" a="1"/>
  <c r="J94" i="1" s="1"/>
  <c r="H94" i="1"/>
  <c r="S93" i="1" a="1"/>
  <c r="S93" i="1" s="1"/>
  <c r="Q93" i="1" a="1"/>
  <c r="Q93" i="1" s="1"/>
  <c r="O93" i="1"/>
  <c r="O93" i="1" a="1"/>
  <c r="M93" i="1"/>
  <c r="M93" i="1" a="1"/>
  <c r="J93" i="1"/>
  <c r="J93" i="1" a="1"/>
  <c r="H93" i="1"/>
  <c r="S92" i="1"/>
  <c r="S92" i="1" a="1"/>
  <c r="Q92" i="1" a="1"/>
  <c r="Q92" i="1" s="1"/>
  <c r="O92" i="1"/>
  <c r="O92" i="1" a="1"/>
  <c r="M92" i="1"/>
  <c r="M92" i="1" a="1"/>
  <c r="J92" i="1"/>
  <c r="J92" i="1" a="1"/>
  <c r="H92" i="1"/>
  <c r="S91" i="1" a="1"/>
  <c r="S91" i="1" s="1"/>
  <c r="Q91" i="1" a="1"/>
  <c r="Q91" i="1" s="1"/>
  <c r="O91" i="1" a="1"/>
  <c r="O91" i="1" s="1"/>
  <c r="M91" i="1"/>
  <c r="M91" i="1" a="1"/>
  <c r="J91" i="1"/>
  <c r="J91" i="1" a="1"/>
  <c r="H91" i="1"/>
  <c r="S90" i="1" a="1"/>
  <c r="S90" i="1" s="1"/>
  <c r="Q90" i="1"/>
  <c r="Q90" i="1" a="1"/>
  <c r="O90" i="1" a="1"/>
  <c r="O90" i="1" s="1"/>
  <c r="M90" i="1"/>
  <c r="M90" i="1" a="1"/>
  <c r="J90" i="1"/>
  <c r="J90" i="1" a="1"/>
  <c r="H90" i="1"/>
  <c r="S89" i="1"/>
  <c r="S89" i="1" a="1"/>
  <c r="Q89" i="1" a="1"/>
  <c r="Q89" i="1" s="1"/>
  <c r="O89" i="1" a="1"/>
  <c r="O89" i="1" s="1"/>
  <c r="M89" i="1" a="1"/>
  <c r="M89" i="1" s="1"/>
  <c r="J89" i="1"/>
  <c r="J89" i="1" a="1"/>
  <c r="H89" i="1"/>
  <c r="S88" i="1"/>
  <c r="S88" i="1" a="1"/>
  <c r="Q88" i="1" a="1"/>
  <c r="Q88" i="1" s="1"/>
  <c r="O88" i="1"/>
  <c r="O88" i="1" a="1"/>
  <c r="M88" i="1" a="1"/>
  <c r="M88" i="1" s="1"/>
  <c r="J88" i="1"/>
  <c r="J88" i="1" a="1"/>
  <c r="H88" i="1"/>
  <c r="S87" i="1"/>
  <c r="S87" i="1" a="1"/>
  <c r="Q87" i="1"/>
  <c r="Q87" i="1" a="1"/>
  <c r="O87" i="1" a="1"/>
  <c r="O87" i="1" s="1"/>
  <c r="M87" i="1" a="1"/>
  <c r="M87" i="1" s="1"/>
  <c r="J87" i="1" a="1"/>
  <c r="J87" i="1" s="1"/>
  <c r="H87" i="1"/>
  <c r="S86" i="1"/>
  <c r="S86" i="1" a="1"/>
  <c r="Q86" i="1"/>
  <c r="Q86" i="1" a="1"/>
  <c r="O86" i="1" a="1"/>
  <c r="O86" i="1" s="1"/>
  <c r="M86" i="1"/>
  <c r="M86" i="1" a="1"/>
  <c r="J86" i="1" a="1"/>
  <c r="J86" i="1" s="1"/>
  <c r="H86" i="1"/>
  <c r="S85" i="1"/>
  <c r="S85" i="1" a="1"/>
  <c r="Q85" i="1"/>
  <c r="Q85" i="1" a="1"/>
  <c r="O85" i="1"/>
  <c r="O85" i="1" a="1"/>
  <c r="M85" i="1" a="1"/>
  <c r="M85" i="1" s="1"/>
  <c r="J85" i="1" a="1"/>
  <c r="J85" i="1" s="1"/>
  <c r="H85" i="1"/>
  <c r="S84" i="1"/>
  <c r="S84" i="1" a="1"/>
  <c r="Q84" i="1"/>
  <c r="Q84" i="1" a="1"/>
  <c r="O84" i="1"/>
  <c r="O84" i="1" a="1"/>
  <c r="M84" i="1" a="1"/>
  <c r="M84" i="1" s="1"/>
  <c r="J84" i="1"/>
  <c r="J84" i="1" a="1"/>
  <c r="H84" i="1"/>
  <c r="S83" i="1" a="1"/>
  <c r="S83" i="1" s="1"/>
  <c r="Q83" i="1"/>
  <c r="Q83" i="1" a="1"/>
  <c r="O83" i="1"/>
  <c r="O83" i="1" a="1"/>
  <c r="M83" i="1"/>
  <c r="M83" i="1" a="1"/>
  <c r="J83" i="1" a="1"/>
  <c r="J83" i="1" s="1"/>
  <c r="H83" i="1"/>
  <c r="S82" i="1" a="1"/>
  <c r="S82" i="1" s="1"/>
  <c r="Q82" i="1"/>
  <c r="Q82" i="1" a="1"/>
  <c r="O82" i="1"/>
  <c r="O82" i="1" a="1"/>
  <c r="M82" i="1"/>
  <c r="M82" i="1" a="1"/>
  <c r="J82" i="1" a="1"/>
  <c r="J82" i="1" s="1"/>
  <c r="H82" i="1"/>
  <c r="S81" i="1" a="1"/>
  <c r="S81" i="1" s="1"/>
  <c r="Q81" i="1" a="1"/>
  <c r="Q81" i="1" s="1"/>
  <c r="O81" i="1"/>
  <c r="O81" i="1" a="1"/>
  <c r="M81" i="1"/>
  <c r="M81" i="1" a="1"/>
  <c r="J81" i="1"/>
  <c r="J81" i="1" a="1"/>
  <c r="H81" i="1"/>
  <c r="S80" i="1"/>
  <c r="S80" i="1" a="1"/>
  <c r="Q80" i="1" a="1"/>
  <c r="Q80" i="1" s="1"/>
  <c r="O80" i="1"/>
  <c r="O80" i="1" a="1"/>
  <c r="M80" i="1"/>
  <c r="M80" i="1" a="1"/>
  <c r="J80" i="1"/>
  <c r="J80" i="1" a="1"/>
  <c r="H80" i="1"/>
  <c r="S79" i="1" a="1"/>
  <c r="S79" i="1" s="1"/>
  <c r="Q79" i="1" a="1"/>
  <c r="Q79" i="1" s="1"/>
  <c r="O79" i="1" a="1"/>
  <c r="O79" i="1" s="1"/>
  <c r="M79" i="1"/>
  <c r="M79" i="1" a="1"/>
  <c r="J79" i="1"/>
  <c r="J79" i="1" a="1"/>
  <c r="H79" i="1"/>
  <c r="S78" i="1" a="1"/>
  <c r="S78" i="1" s="1"/>
  <c r="Q78" i="1"/>
  <c r="Q78" i="1" a="1"/>
  <c r="O78" i="1" a="1"/>
  <c r="O78" i="1" s="1"/>
  <c r="M78" i="1"/>
  <c r="M78" i="1" a="1"/>
  <c r="J78" i="1"/>
  <c r="J78" i="1" a="1"/>
  <c r="H78" i="1"/>
  <c r="S77" i="1" a="1"/>
  <c r="S77" i="1" s="1"/>
  <c r="Q77" i="1" a="1"/>
  <c r="Q77" i="1" s="1"/>
  <c r="O77" i="1" a="1"/>
  <c r="O77" i="1" s="1"/>
  <c r="M77" i="1" a="1"/>
  <c r="M77" i="1" s="1"/>
  <c r="J77" i="1"/>
  <c r="J77" i="1" a="1"/>
  <c r="H77" i="1"/>
  <c r="S76" i="1"/>
  <c r="S76" i="1" a="1"/>
  <c r="Q76" i="1" a="1"/>
  <c r="Q76" i="1" s="1"/>
  <c r="O76" i="1"/>
  <c r="O76" i="1" a="1"/>
  <c r="M76" i="1" a="1"/>
  <c r="M76" i="1" s="1"/>
  <c r="J76" i="1"/>
  <c r="J76" i="1" a="1"/>
  <c r="H76" i="1"/>
  <c r="S75" i="1"/>
  <c r="S75" i="1" a="1"/>
  <c r="Q75" i="1" a="1"/>
  <c r="Q75" i="1" s="1"/>
  <c r="O75" i="1" a="1"/>
  <c r="O75" i="1" s="1"/>
  <c r="M75" i="1" a="1"/>
  <c r="M75" i="1" s="1"/>
  <c r="J75" i="1" a="1"/>
  <c r="J75" i="1" s="1"/>
  <c r="H75" i="1"/>
  <c r="S74" i="1"/>
  <c r="S74" i="1" a="1"/>
  <c r="Q74" i="1"/>
  <c r="Q74" i="1" a="1"/>
  <c r="O74" i="1" a="1"/>
  <c r="O74" i="1" s="1"/>
  <c r="M74" i="1"/>
  <c r="M74" i="1" a="1"/>
  <c r="J74" i="1" a="1"/>
  <c r="J74" i="1" s="1"/>
  <c r="H74" i="1"/>
  <c r="S73" i="1"/>
  <c r="S73" i="1" a="1"/>
  <c r="Q73" i="1"/>
  <c r="Q73" i="1" a="1"/>
  <c r="O73" i="1" a="1"/>
  <c r="O73" i="1" s="1"/>
  <c r="M73" i="1" a="1"/>
  <c r="M73" i="1" s="1"/>
  <c r="J73" i="1" a="1"/>
  <c r="J73" i="1" s="1"/>
  <c r="H73" i="1"/>
  <c r="S72" i="1"/>
  <c r="S72" i="1" a="1"/>
  <c r="Q72" i="1"/>
  <c r="Q72" i="1" a="1"/>
  <c r="O72" i="1"/>
  <c r="O72" i="1" a="1"/>
  <c r="M72" i="1" a="1"/>
  <c r="M72" i="1" s="1"/>
  <c r="J72" i="1"/>
  <c r="J72" i="1" a="1"/>
  <c r="H72" i="1"/>
  <c r="S71" i="1" a="1"/>
  <c r="S71" i="1" s="1"/>
  <c r="Q71" i="1"/>
  <c r="Q71" i="1" a="1"/>
  <c r="O71" i="1"/>
  <c r="O71" i="1" a="1"/>
  <c r="M71" i="1" a="1"/>
  <c r="M71" i="1" s="1"/>
  <c r="J71" i="1" a="1"/>
  <c r="J71" i="1" s="1"/>
  <c r="H71" i="1"/>
  <c r="S70" i="1" a="1"/>
  <c r="S70" i="1" s="1"/>
  <c r="Q70" i="1"/>
  <c r="Q70" i="1" a="1"/>
  <c r="O70" i="1"/>
  <c r="O70" i="1" a="1"/>
  <c r="M70" i="1"/>
  <c r="M70" i="1" a="1"/>
  <c r="J70" i="1" a="1"/>
  <c r="J70" i="1" s="1"/>
  <c r="H70" i="1"/>
  <c r="S69" i="1" a="1"/>
  <c r="S69" i="1" s="1"/>
  <c r="Q69" i="1" a="1"/>
  <c r="Q69" i="1" s="1"/>
  <c r="O69" i="1"/>
  <c r="O69" i="1" a="1"/>
  <c r="M69" i="1"/>
  <c r="M69" i="1" a="1"/>
  <c r="J69" i="1" a="1"/>
  <c r="J69" i="1" s="1"/>
  <c r="H69" i="1"/>
  <c r="S68" i="1"/>
  <c r="S68" i="1" a="1"/>
  <c r="Q68" i="1" a="1"/>
  <c r="Q68" i="1" s="1"/>
  <c r="O68" i="1"/>
  <c r="O68" i="1" a="1"/>
  <c r="M68" i="1"/>
  <c r="M68" i="1" a="1"/>
  <c r="J68" i="1"/>
  <c r="J68" i="1" a="1"/>
  <c r="H68" i="1"/>
  <c r="S67" i="1" a="1"/>
  <c r="S67" i="1" s="1"/>
  <c r="Q67" i="1" a="1"/>
  <c r="Q67" i="1" s="1"/>
  <c r="O67" i="1" a="1"/>
  <c r="O67" i="1" s="1"/>
  <c r="M67" i="1"/>
  <c r="M67" i="1" a="1"/>
  <c r="J67" i="1"/>
  <c r="J67" i="1" a="1"/>
  <c r="H67" i="1"/>
  <c r="S66" i="1" a="1"/>
  <c r="S66" i="1" s="1"/>
  <c r="Q66" i="1"/>
  <c r="Q66" i="1" a="1"/>
  <c r="O66" i="1" a="1"/>
  <c r="O66" i="1" s="1"/>
  <c r="M66" i="1"/>
  <c r="M66" i="1" a="1"/>
  <c r="J66" i="1"/>
  <c r="J66" i="1" a="1"/>
  <c r="H66" i="1"/>
  <c r="S65" i="1" a="1"/>
  <c r="S65" i="1" s="1"/>
  <c r="Q65" i="1" a="1"/>
  <c r="Q65" i="1" s="1"/>
  <c r="O65" i="1" a="1"/>
  <c r="O65" i="1" s="1"/>
  <c r="M65" i="1" a="1"/>
  <c r="M65" i="1" s="1"/>
  <c r="J65" i="1"/>
  <c r="J65" i="1" a="1"/>
  <c r="H65" i="1"/>
  <c r="S64" i="1"/>
  <c r="S64" i="1" a="1"/>
  <c r="Q64" i="1" a="1"/>
  <c r="Q64" i="1" s="1"/>
  <c r="O64" i="1"/>
  <c r="O64" i="1" a="1"/>
  <c r="M64" i="1" a="1"/>
  <c r="M64" i="1" s="1"/>
  <c r="J64" i="1"/>
  <c r="J64" i="1" a="1"/>
  <c r="H64" i="1"/>
  <c r="S63" i="1"/>
  <c r="S63" i="1" a="1"/>
  <c r="Q63" i="1" a="1"/>
  <c r="Q63" i="1" s="1"/>
  <c r="O63" i="1" a="1"/>
  <c r="O63" i="1" s="1"/>
  <c r="M63" i="1" a="1"/>
  <c r="M63" i="1" s="1"/>
  <c r="J63" i="1" a="1"/>
  <c r="J63" i="1" s="1"/>
  <c r="H63" i="1"/>
  <c r="S62" i="1"/>
  <c r="S62" i="1" a="1"/>
  <c r="Q62" i="1"/>
  <c r="Q62" i="1" a="1"/>
  <c r="O62" i="1" a="1"/>
  <c r="O62" i="1" s="1"/>
  <c r="M62" i="1"/>
  <c r="M62" i="1" a="1"/>
  <c r="J62" i="1" a="1"/>
  <c r="J62" i="1" s="1"/>
  <c r="H62" i="1"/>
  <c r="S61" i="1"/>
  <c r="S61" i="1" a="1"/>
  <c r="Q61" i="1"/>
  <c r="Q61" i="1" a="1"/>
  <c r="O61" i="1" a="1"/>
  <c r="O61" i="1" s="1"/>
  <c r="M61" i="1" a="1"/>
  <c r="M61" i="1" s="1"/>
  <c r="J61" i="1" a="1"/>
  <c r="J61" i="1" s="1"/>
  <c r="H61" i="1"/>
  <c r="S60" i="1"/>
  <c r="S60" i="1" a="1"/>
  <c r="Q60" i="1"/>
  <c r="Q60" i="1" a="1"/>
  <c r="O60" i="1"/>
  <c r="O60" i="1" a="1"/>
  <c r="M60" i="1" a="1"/>
  <c r="M60" i="1" s="1"/>
  <c r="J60" i="1"/>
  <c r="J60" i="1" a="1"/>
  <c r="H60" i="1"/>
  <c r="S59" i="1" a="1"/>
  <c r="S59" i="1" s="1"/>
  <c r="Q59" i="1"/>
  <c r="Q59" i="1" a="1"/>
  <c r="O59" i="1"/>
  <c r="O59" i="1" a="1"/>
  <c r="M59" i="1" a="1"/>
  <c r="M59" i="1" s="1"/>
  <c r="J59" i="1" a="1"/>
  <c r="J59" i="1" s="1"/>
  <c r="H59" i="1"/>
  <c r="S58" i="1" a="1"/>
  <c r="S58" i="1" s="1"/>
  <c r="Q58" i="1"/>
  <c r="Q58" i="1" a="1"/>
  <c r="O58" i="1"/>
  <c r="O58" i="1" a="1"/>
  <c r="M58" i="1"/>
  <c r="M58" i="1" a="1"/>
  <c r="J58" i="1" a="1"/>
  <c r="J58" i="1" s="1"/>
  <c r="H58" i="1"/>
  <c r="S57" i="1" a="1"/>
  <c r="S57" i="1" s="1"/>
  <c r="Q57" i="1" a="1"/>
  <c r="Q57" i="1" s="1"/>
  <c r="O57" i="1"/>
  <c r="O57" i="1" a="1"/>
  <c r="M57" i="1"/>
  <c r="M57" i="1" a="1"/>
  <c r="J57" i="1" a="1"/>
  <c r="J57" i="1" s="1"/>
  <c r="H57" i="1"/>
  <c r="S56" i="1" a="1"/>
  <c r="S56" i="1" s="1"/>
  <c r="Q56" i="1" a="1"/>
  <c r="Q56" i="1" s="1"/>
  <c r="O56" i="1"/>
  <c r="O56" i="1" a="1"/>
  <c r="M56" i="1"/>
  <c r="M56" i="1" a="1"/>
  <c r="J56" i="1"/>
  <c r="J56" i="1" a="1"/>
  <c r="H56" i="1"/>
  <c r="S55" i="1" a="1"/>
  <c r="S55" i="1" s="1"/>
  <c r="Q55" i="1" a="1"/>
  <c r="Q55" i="1" s="1"/>
  <c r="O55" i="1" a="1"/>
  <c r="O55" i="1" s="1"/>
  <c r="M55" i="1"/>
  <c r="M55" i="1" a="1"/>
  <c r="J55" i="1"/>
  <c r="J55" i="1" a="1"/>
  <c r="H55" i="1"/>
  <c r="S54" i="1" a="1"/>
  <c r="S54" i="1" s="1"/>
  <c r="Q54" i="1"/>
  <c r="Q54" i="1" a="1"/>
  <c r="O54" i="1" a="1"/>
  <c r="O54" i="1" s="1"/>
  <c r="M54" i="1"/>
  <c r="M54" i="1" a="1"/>
  <c r="J54" i="1"/>
  <c r="J54" i="1" a="1"/>
  <c r="H54" i="1"/>
  <c r="S53" i="1" a="1"/>
  <c r="S53" i="1" s="1"/>
  <c r="Q53" i="1" a="1"/>
  <c r="Q53" i="1" s="1"/>
  <c r="O53" i="1" a="1"/>
  <c r="O53" i="1" s="1"/>
  <c r="M53" i="1" a="1"/>
  <c r="M53" i="1" s="1"/>
  <c r="J53" i="1"/>
  <c r="J53" i="1" a="1"/>
  <c r="H53" i="1"/>
  <c r="S52" i="1"/>
  <c r="S52" i="1" a="1"/>
  <c r="Q52" i="1" a="1"/>
  <c r="Q52" i="1" s="1"/>
  <c r="O52" i="1"/>
  <c r="O52" i="1" a="1"/>
  <c r="M52" i="1" a="1"/>
  <c r="M52" i="1" s="1"/>
  <c r="J52" i="1"/>
  <c r="J52" i="1" a="1"/>
  <c r="H52" i="1"/>
  <c r="S51" i="1"/>
  <c r="S51" i="1" a="1"/>
  <c r="Q51" i="1" a="1"/>
  <c r="Q51" i="1" s="1"/>
  <c r="O51" i="1" a="1"/>
  <c r="O51" i="1" s="1"/>
  <c r="M51" i="1" a="1"/>
  <c r="M51" i="1" s="1"/>
  <c r="J51" i="1" a="1"/>
  <c r="J51" i="1" s="1"/>
  <c r="H51" i="1"/>
  <c r="S50" i="1"/>
  <c r="S50" i="1" a="1"/>
  <c r="Q50" i="1"/>
  <c r="Q50" i="1" a="1"/>
  <c r="O50" i="1" a="1"/>
  <c r="O50" i="1" s="1"/>
  <c r="M50" i="1"/>
  <c r="M50" i="1" a="1"/>
  <c r="J50" i="1" a="1"/>
  <c r="J50" i="1" s="1"/>
  <c r="H50" i="1"/>
  <c r="S49" i="1"/>
  <c r="S49" i="1" a="1"/>
  <c r="Q49" i="1"/>
  <c r="Q49" i="1" a="1"/>
  <c r="O49" i="1" a="1"/>
  <c r="O49" i="1" s="1"/>
  <c r="M49" i="1" a="1"/>
  <c r="M49" i="1" s="1"/>
  <c r="J49" i="1" a="1"/>
  <c r="J49" i="1" s="1"/>
  <c r="H49" i="1"/>
  <c r="S48" i="1"/>
  <c r="S48" i="1" a="1"/>
  <c r="Q48" i="1"/>
  <c r="Q48" i="1" a="1"/>
  <c r="O48" i="1"/>
  <c r="O48" i="1" a="1"/>
  <c r="M48" i="1"/>
  <c r="M48" i="1" a="1"/>
  <c r="J48" i="1"/>
  <c r="J48" i="1" a="1"/>
  <c r="H48" i="1"/>
  <c r="S47" i="1" a="1"/>
  <c r="S47" i="1" s="1"/>
  <c r="Q47" i="1"/>
  <c r="Q47" i="1" a="1"/>
  <c r="O47" i="1"/>
  <c r="O47" i="1" a="1"/>
  <c r="M47" i="1" a="1"/>
  <c r="M47" i="1" s="1"/>
  <c r="J47" i="1" a="1"/>
  <c r="J47" i="1" s="1"/>
  <c r="H47" i="1"/>
  <c r="S46" i="1" a="1"/>
  <c r="S46" i="1" s="1"/>
  <c r="Q46" i="1"/>
  <c r="Q46" i="1" a="1"/>
  <c r="O46" i="1"/>
  <c r="O46" i="1" a="1"/>
  <c r="M46" i="1"/>
  <c r="M46" i="1" a="1"/>
  <c r="J46" i="1" a="1"/>
  <c r="J46" i="1" s="1"/>
  <c r="H46" i="1"/>
  <c r="S45" i="1" a="1"/>
  <c r="S45" i="1" s="1"/>
  <c r="Q45" i="1" a="1"/>
  <c r="Q45" i="1" s="1"/>
  <c r="O45" i="1"/>
  <c r="O45" i="1" a="1"/>
  <c r="M45" i="1"/>
  <c r="M45" i="1" a="1"/>
  <c r="J45" i="1" a="1"/>
  <c r="J45" i="1" s="1"/>
  <c r="H45" i="1"/>
  <c r="S44" i="1"/>
  <c r="S44" i="1" a="1"/>
  <c r="Q44" i="1" a="1"/>
  <c r="Q44" i="1" s="1"/>
  <c r="O44" i="1"/>
  <c r="O44" i="1" a="1"/>
  <c r="M44" i="1"/>
  <c r="M44" i="1" a="1"/>
  <c r="J44" i="1"/>
  <c r="J44" i="1" a="1"/>
  <c r="H44" i="1"/>
  <c r="S43" i="1" a="1"/>
  <c r="S43" i="1" s="1"/>
  <c r="Q43" i="1" a="1"/>
  <c r="Q43" i="1" s="1"/>
  <c r="O43" i="1" a="1"/>
  <c r="O43" i="1" s="1"/>
  <c r="M43" i="1"/>
  <c r="M43" i="1" a="1"/>
  <c r="J43" i="1"/>
  <c r="J43" i="1" a="1"/>
  <c r="H43" i="1"/>
  <c r="S42" i="1" a="1"/>
  <c r="S42" i="1" s="1"/>
  <c r="Q42" i="1"/>
  <c r="Q42" i="1" a="1"/>
  <c r="O42" i="1" a="1"/>
  <c r="O42" i="1" s="1"/>
  <c r="M42" i="1"/>
  <c r="M42" i="1" a="1"/>
  <c r="J42" i="1"/>
  <c r="J42" i="1" a="1"/>
  <c r="H42" i="1"/>
  <c r="S41" i="1" a="1"/>
  <c r="S41" i="1" s="1"/>
  <c r="Q41" i="1" a="1"/>
  <c r="Q41" i="1" s="1"/>
  <c r="O41" i="1" a="1"/>
  <c r="O41" i="1" s="1"/>
  <c r="M41" i="1" a="1"/>
  <c r="M41" i="1" s="1"/>
  <c r="J41" i="1"/>
  <c r="J41" i="1" a="1"/>
  <c r="H41" i="1"/>
  <c r="S40" i="1"/>
  <c r="S40" i="1" a="1"/>
  <c r="Q40" i="1" a="1"/>
  <c r="Q40" i="1" s="1"/>
  <c r="O40" i="1"/>
  <c r="O40" i="1" a="1"/>
  <c r="M40" i="1" a="1"/>
  <c r="M40" i="1" s="1"/>
  <c r="J40" i="1"/>
  <c r="J40" i="1" a="1"/>
  <c r="H40" i="1"/>
  <c r="S39" i="1"/>
  <c r="S39" i="1" a="1"/>
  <c r="Q39" i="1" a="1"/>
  <c r="Q39" i="1" s="1"/>
  <c r="O39" i="1" a="1"/>
  <c r="O39" i="1" s="1"/>
  <c r="M39" i="1" a="1"/>
  <c r="M39" i="1" s="1"/>
  <c r="J39" i="1" a="1"/>
  <c r="J39" i="1" s="1"/>
  <c r="H39" i="1"/>
  <c r="S38" i="1"/>
  <c r="S38" i="1" a="1"/>
  <c r="Q38" i="1"/>
  <c r="Q38" i="1" a="1"/>
  <c r="O38" i="1" a="1"/>
  <c r="O38" i="1" s="1"/>
  <c r="M38" i="1"/>
  <c r="M38" i="1" a="1"/>
  <c r="J38" i="1" a="1"/>
  <c r="J38" i="1" s="1"/>
  <c r="H38" i="1"/>
  <c r="S37" i="1"/>
  <c r="S37" i="1" a="1"/>
  <c r="Q37" i="1"/>
  <c r="Q37" i="1" a="1"/>
  <c r="O37" i="1" a="1"/>
  <c r="O37" i="1" s="1"/>
  <c r="M37" i="1" a="1"/>
  <c r="M37" i="1" s="1"/>
  <c r="J37" i="1" a="1"/>
  <c r="J37" i="1" s="1"/>
  <c r="H37" i="1"/>
  <c r="S36" i="1"/>
  <c r="S36" i="1" a="1"/>
  <c r="Q36" i="1"/>
  <c r="Q36" i="1" a="1"/>
  <c r="O36" i="1"/>
  <c r="O36" i="1" a="1"/>
  <c r="M36" i="1" a="1"/>
  <c r="M36" i="1" s="1"/>
  <c r="J36" i="1"/>
  <c r="J36" i="1" a="1"/>
  <c r="H36" i="1"/>
  <c r="S35" i="1" a="1"/>
  <c r="S35" i="1" s="1"/>
  <c r="Q35" i="1"/>
  <c r="Q35" i="1" a="1"/>
  <c r="O35" i="1"/>
  <c r="O35" i="1" a="1"/>
  <c r="M35" i="1" a="1"/>
  <c r="M35" i="1" s="1"/>
  <c r="J35" i="1" a="1"/>
  <c r="J35" i="1" s="1"/>
  <c r="H35" i="1"/>
  <c r="S34" i="1" a="1"/>
  <c r="S34" i="1" s="1"/>
  <c r="Q34" i="1"/>
  <c r="Q34" i="1" a="1"/>
  <c r="O34" i="1"/>
  <c r="O34" i="1" a="1"/>
  <c r="M34" i="1"/>
  <c r="M34" i="1" a="1"/>
  <c r="J34" i="1" a="1"/>
  <c r="J34" i="1" s="1"/>
  <c r="H34" i="1"/>
  <c r="S33" i="1" a="1"/>
  <c r="S33" i="1" s="1"/>
  <c r="Q33" i="1" a="1"/>
  <c r="Q33" i="1" s="1"/>
  <c r="O33" i="1"/>
  <c r="O33" i="1" a="1"/>
  <c r="M33" i="1"/>
  <c r="M33" i="1" a="1"/>
  <c r="J33" i="1" a="1"/>
  <c r="J33" i="1" s="1"/>
  <c r="H33" i="1"/>
  <c r="S32" i="1"/>
  <c r="S32" i="1" a="1"/>
  <c r="Q32" i="1" a="1"/>
  <c r="Q32" i="1" s="1"/>
  <c r="O32" i="1"/>
  <c r="O32" i="1" a="1"/>
  <c r="M32" i="1"/>
  <c r="M32" i="1" a="1"/>
  <c r="J32" i="1"/>
  <c r="J32" i="1" a="1"/>
  <c r="H32" i="1"/>
  <c r="S31" i="1" a="1"/>
  <c r="S31" i="1" s="1"/>
  <c r="Q31" i="1" a="1"/>
  <c r="Q31" i="1" s="1"/>
  <c r="O31" i="1" a="1"/>
  <c r="O31" i="1" s="1"/>
  <c r="M31" i="1"/>
  <c r="M31" i="1" a="1"/>
  <c r="J31" i="1"/>
  <c r="J31" i="1" a="1"/>
  <c r="H31" i="1"/>
  <c r="S30" i="1" a="1"/>
  <c r="S30" i="1" s="1"/>
  <c r="Q30" i="1"/>
  <c r="Q30" i="1" a="1"/>
  <c r="O30" i="1" a="1"/>
  <c r="O30" i="1" s="1"/>
  <c r="M30" i="1"/>
  <c r="M30" i="1" a="1"/>
  <c r="J30" i="1"/>
  <c r="J30" i="1" a="1"/>
  <c r="H30" i="1"/>
  <c r="S29" i="1" a="1"/>
  <c r="S29" i="1" s="1"/>
  <c r="Q29" i="1" a="1"/>
  <c r="Q29" i="1" s="1"/>
  <c r="O29" i="1" a="1"/>
  <c r="O29" i="1" s="1"/>
  <c r="M29" i="1" a="1"/>
  <c r="M29" i="1" s="1"/>
  <c r="J29" i="1"/>
  <c r="J29" i="1" a="1"/>
  <c r="H29" i="1"/>
  <c r="S28" i="1"/>
  <c r="S28" i="1" a="1"/>
  <c r="Q28" i="1" a="1"/>
  <c r="Q28" i="1" s="1"/>
  <c r="O28" i="1"/>
  <c r="O28" i="1" a="1"/>
  <c r="M28" i="1" a="1"/>
  <c r="M28" i="1" s="1"/>
  <c r="J28" i="1"/>
  <c r="J28" i="1" a="1"/>
  <c r="H28" i="1"/>
  <c r="S27" i="1"/>
  <c r="S27" i="1" a="1"/>
  <c r="Q27" i="1" a="1"/>
  <c r="Q27" i="1" s="1"/>
  <c r="O27" i="1" a="1"/>
  <c r="O27" i="1" s="1"/>
  <c r="M27" i="1" a="1"/>
  <c r="M27" i="1" s="1"/>
  <c r="J27" i="1" a="1"/>
  <c r="J27" i="1" s="1"/>
  <c r="H27" i="1"/>
  <c r="S26" i="1"/>
  <c r="S26" i="1" a="1"/>
  <c r="Q26" i="1"/>
  <c r="Q26" i="1" a="1"/>
  <c r="O26" i="1" a="1"/>
  <c r="O26" i="1" s="1"/>
  <c r="M26" i="1"/>
  <c r="M26" i="1" a="1"/>
  <c r="J26" i="1" a="1"/>
  <c r="J26" i="1" s="1"/>
  <c r="H26" i="1"/>
  <c r="S25" i="1"/>
  <c r="S25" i="1" a="1"/>
  <c r="Q25" i="1"/>
  <c r="Q25" i="1" a="1"/>
  <c r="O25" i="1" a="1"/>
  <c r="O25" i="1" s="1"/>
  <c r="M25" i="1" a="1"/>
  <c r="M25" i="1" s="1"/>
  <c r="J25" i="1" a="1"/>
  <c r="J25" i="1" s="1"/>
  <c r="H25" i="1"/>
  <c r="S24" i="1"/>
  <c r="S24" i="1" a="1"/>
  <c r="Q24" i="1"/>
  <c r="Q24" i="1" a="1"/>
  <c r="O24" i="1"/>
  <c r="O24" i="1" a="1"/>
  <c r="M24" i="1" a="1"/>
  <c r="M24" i="1" s="1"/>
  <c r="J24" i="1"/>
  <c r="J24" i="1" a="1"/>
  <c r="H24" i="1"/>
  <c r="S23" i="1" a="1"/>
  <c r="S23" i="1" s="1"/>
  <c r="Q23" i="1"/>
  <c r="Q23" i="1" a="1"/>
  <c r="O23" i="1"/>
  <c r="O23" i="1" a="1"/>
  <c r="M23" i="1" a="1"/>
  <c r="M23" i="1" s="1"/>
  <c r="J23" i="1" a="1"/>
  <c r="J23" i="1" s="1"/>
  <c r="H23" i="1"/>
  <c r="S22" i="1" a="1"/>
  <c r="S22" i="1" s="1"/>
  <c r="Q22" i="1"/>
  <c r="Q22" i="1" a="1"/>
  <c r="O22" i="1"/>
  <c r="O22" i="1" a="1"/>
  <c r="M22" i="1"/>
  <c r="M22" i="1" a="1"/>
  <c r="J22" i="1" a="1"/>
  <c r="J22" i="1" s="1"/>
  <c r="H22" i="1"/>
  <c r="S21" i="1" a="1"/>
  <c r="S21" i="1" s="1"/>
  <c r="Q21" i="1" a="1"/>
  <c r="Q21" i="1" s="1"/>
  <c r="O21" i="1"/>
  <c r="O21" i="1" a="1"/>
  <c r="M21" i="1"/>
  <c r="M21" i="1" a="1"/>
  <c r="J21" i="1" a="1"/>
  <c r="J21" i="1" s="1"/>
  <c r="H21" i="1"/>
  <c r="S20" i="1"/>
  <c r="S20" i="1" a="1"/>
  <c r="Q20" i="1" a="1"/>
  <c r="Q20" i="1" s="1"/>
  <c r="O20" i="1"/>
  <c r="O20" i="1" a="1"/>
  <c r="M20" i="1"/>
  <c r="M20" i="1" a="1"/>
  <c r="J20" i="1"/>
  <c r="J20" i="1" a="1"/>
  <c r="H20" i="1"/>
  <c r="S19" i="1" a="1"/>
  <c r="S19" i="1" s="1"/>
  <c r="Q19" i="1" a="1"/>
  <c r="Q19" i="1" s="1"/>
  <c r="O19" i="1" a="1"/>
  <c r="O19" i="1" s="1"/>
  <c r="M19" i="1"/>
  <c r="M19" i="1" a="1"/>
  <c r="J19" i="1"/>
  <c r="J19" i="1" a="1"/>
  <c r="H19" i="1"/>
  <c r="S18" i="1" a="1"/>
  <c r="S18" i="1" s="1"/>
  <c r="Q18" i="1"/>
  <c r="Q18" i="1" a="1"/>
  <c r="O18" i="1" a="1"/>
  <c r="O18" i="1" s="1"/>
  <c r="M18" i="1"/>
  <c r="M18" i="1" a="1"/>
  <c r="J18" i="1"/>
  <c r="J18" i="1" a="1"/>
  <c r="H18" i="1"/>
  <c r="S17" i="1" a="1"/>
  <c r="S17" i="1" s="1"/>
  <c r="Q17" i="1" a="1"/>
  <c r="Q17" i="1" s="1"/>
  <c r="O17" i="1" a="1"/>
  <c r="O17" i="1" s="1"/>
  <c r="M17" i="1" a="1"/>
  <c r="M17" i="1" s="1"/>
  <c r="J17" i="1"/>
  <c r="J17" i="1" a="1"/>
  <c r="H17" i="1"/>
  <c r="S16" i="1"/>
  <c r="S16" i="1" a="1"/>
  <c r="Q16" i="1" a="1"/>
  <c r="Q16" i="1" s="1"/>
  <c r="O16" i="1"/>
  <c r="O16" i="1" a="1"/>
  <c r="M16" i="1" a="1"/>
  <c r="M16" i="1" s="1"/>
  <c r="J16" i="1"/>
  <c r="J16" i="1" a="1"/>
  <c r="H16" i="1"/>
  <c r="S15" i="1"/>
  <c r="S15" i="1" a="1"/>
  <c r="Q15" i="1" a="1"/>
  <c r="Q15" i="1" s="1"/>
  <c r="O15" i="1" a="1"/>
  <c r="O15" i="1" s="1"/>
  <c r="M15" i="1" a="1"/>
  <c r="M15" i="1" s="1"/>
  <c r="J15" i="1" a="1"/>
  <c r="J15" i="1" s="1"/>
  <c r="H15" i="1"/>
  <c r="S14" i="1"/>
  <c r="S14" i="1" a="1"/>
  <c r="Q14" i="1"/>
  <c r="Q14" i="1" a="1"/>
  <c r="O14" i="1" a="1"/>
  <c r="O14" i="1" s="1"/>
  <c r="M14" i="1"/>
  <c r="M14" i="1" a="1"/>
  <c r="J14" i="1" a="1"/>
  <c r="J14" i="1" s="1"/>
  <c r="H14" i="1"/>
  <c r="S13" i="1"/>
  <c r="S13" i="1" a="1"/>
  <c r="Q13" i="1"/>
  <c r="Q13" i="1" a="1"/>
  <c r="O13" i="1" a="1"/>
  <c r="O13" i="1" s="1"/>
  <c r="M13" i="1"/>
  <c r="M13" i="1" a="1"/>
  <c r="J13" i="1" a="1"/>
  <c r="J13" i="1" s="1"/>
  <c r="H13" i="1"/>
  <c r="S12" i="1"/>
  <c r="S12" i="1" a="1"/>
  <c r="Q12" i="1"/>
  <c r="Q12" i="1" a="1"/>
  <c r="O12" i="1"/>
  <c r="O12" i="1" a="1"/>
  <c r="M12" i="1" a="1"/>
  <c r="M12" i="1" s="1"/>
  <c r="J12" i="1"/>
  <c r="J12" i="1" a="1"/>
  <c r="H12" i="1"/>
  <c r="S11" i="1" a="1"/>
  <c r="S11" i="1" s="1"/>
  <c r="Q11" i="1"/>
  <c r="Q11" i="1" a="1"/>
  <c r="O11" i="1"/>
  <c r="O11" i="1" a="1"/>
  <c r="M11" i="1" a="1"/>
  <c r="M11" i="1" s="1"/>
  <c r="J11" i="1" a="1"/>
  <c r="J11" i="1" s="1"/>
  <c r="H11" i="1"/>
  <c r="S10" i="1" a="1"/>
  <c r="S10" i="1" s="1"/>
  <c r="Q10" i="1"/>
  <c r="Q10" i="1" a="1"/>
  <c r="O10" i="1"/>
  <c r="O10" i="1" a="1"/>
  <c r="M10" i="1"/>
  <c r="M10" i="1" a="1"/>
  <c r="J10" i="1" a="1"/>
  <c r="J10" i="1" s="1"/>
  <c r="H10" i="1"/>
  <c r="S9" i="1" a="1"/>
  <c r="S9" i="1" s="1"/>
  <c r="Q9" i="1" a="1"/>
  <c r="Q9" i="1" s="1"/>
  <c r="O9" i="1"/>
  <c r="O9" i="1" a="1"/>
  <c r="M9" i="1"/>
  <c r="M9" i="1" a="1"/>
  <c r="J9" i="1" a="1"/>
  <c r="J9" i="1" s="1"/>
  <c r="H9" i="1"/>
  <c r="S8" i="1" a="1"/>
  <c r="S8" i="1" s="1"/>
  <c r="Q8" i="1" a="1"/>
  <c r="Q8" i="1" s="1"/>
  <c r="O8" i="1"/>
  <c r="O8" i="1" a="1"/>
  <c r="M8" i="1"/>
  <c r="M8" i="1" a="1"/>
  <c r="J8" i="1" a="1"/>
  <c r="J8" i="1" s="1"/>
  <c r="H8" i="1"/>
  <c r="S7" i="1" a="1"/>
  <c r="S7" i="1" s="1"/>
  <c r="Q7" i="1" a="1"/>
  <c r="Q7" i="1" s="1"/>
  <c r="O7" i="1" a="1"/>
  <c r="O7" i="1" s="1"/>
  <c r="M7" i="1"/>
  <c r="M7" i="1" a="1"/>
  <c r="J7" i="1"/>
  <c r="J7" i="1" a="1"/>
  <c r="H7" i="1"/>
  <c r="S6" i="1" a="1"/>
  <c r="S6" i="1" s="1"/>
  <c r="Q6" i="1" a="1"/>
  <c r="Q6" i="1" s="1"/>
  <c r="O6" i="1" a="1"/>
  <c r="O6" i="1" s="1"/>
  <c r="M6" i="1"/>
  <c r="M6" i="1" a="1"/>
  <c r="J6" i="1"/>
  <c r="J6" i="1" a="1"/>
  <c r="H6" i="1"/>
  <c r="S5" i="1" a="1"/>
  <c r="S5" i="1" s="1"/>
  <c r="Q5" i="1" a="1"/>
  <c r="Q5" i="1" s="1"/>
  <c r="O5" i="1" a="1"/>
  <c r="O5" i="1" s="1"/>
  <c r="M5" i="1" a="1"/>
  <c r="M5" i="1" s="1"/>
  <c r="J5" i="1"/>
  <c r="J5" i="1" a="1"/>
  <c r="H5" i="1"/>
  <c r="S4" i="1"/>
  <c r="S4" i="1" a="1"/>
  <c r="Q4" i="1" a="1"/>
  <c r="Q4" i="1" s="1"/>
  <c r="O4" i="1" a="1"/>
  <c r="O4" i="1" s="1"/>
  <c r="M4" i="1" a="1"/>
  <c r="M4" i="1" s="1"/>
  <c r="J4" i="1"/>
  <c r="J4" i="1" a="1"/>
  <c r="H4" i="1"/>
  <c r="S3" i="1"/>
  <c r="S3" i="1" a="1"/>
  <c r="Q3" i="1" a="1"/>
  <c r="Q3" i="1" s="1"/>
  <c r="O3" i="1"/>
  <c r="O3" i="1" a="1"/>
  <c r="M3" i="1" a="1"/>
  <c r="M3" i="1" s="1"/>
  <c r="J3" i="1" a="1"/>
  <c r="J3" i="1" s="1"/>
  <c r="H3" i="1"/>
  <c r="S2" i="1"/>
  <c r="S2" i="1" a="1"/>
  <c r="Q2" i="1"/>
  <c r="Q2" i="1" a="1"/>
  <c r="O2" i="1" a="1"/>
  <c r="O2" i="1" s="1"/>
  <c r="M2" i="1" a="1"/>
  <c r="M2" i="1" s="1"/>
  <c r="J2" i="1" a="1"/>
  <c r="J2" i="1" s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<sst xmlns="http://schemas.openxmlformats.org/spreadsheetml/2006/main" count="2239" uniqueCount="187">
  <si>
    <t>Full Name</t>
  </si>
  <si>
    <t>College/University name</t>
  </si>
  <si>
    <t>Course/Stream</t>
  </si>
  <si>
    <t>Year</t>
  </si>
  <si>
    <t>Age Group</t>
  </si>
  <si>
    <t>Gender</t>
  </si>
  <si>
    <t xml:space="preserve">How often do you feel stressed due to academic pressure?  </t>
  </si>
  <si>
    <r>
      <t xml:space="preserve">Stress Score (1–5)  </t>
    </r>
    <r>
      <rPr>
        <sz val="11"/>
        <color theme="1"/>
        <rFont val="Calibri"/>
        <family val="2"/>
        <scheme val="minor"/>
      </rPr>
      <t>Never=1, Rarely=2, Once a week=3, Several times a week=4, Daily=5</t>
    </r>
  </si>
  <si>
    <t xml:space="preserve">Have you ever experienced symptoms of anxiety or depression during college?  </t>
  </si>
  <si>
    <t>Anxiety Score (0–2) No=0, Not Sure=1, Yes=2</t>
  </si>
  <si>
    <r>
      <rPr>
        <b/>
        <sz val="11"/>
        <color theme="1"/>
        <rFont val="Arial"/>
        <family val="2"/>
      </rPr>
      <t>How would you rate your overall mental health in the past month?</t>
    </r>
    <r>
      <rPr>
        <sz val="11"/>
        <color theme="1"/>
        <rFont val="Arial"/>
        <family val="2"/>
      </rPr>
      <t xml:space="preserve">
→ </t>
    </r>
    <r>
      <rPr>
        <i/>
        <sz val="11"/>
        <color theme="1"/>
        <rFont val="Arial"/>
        <family val="2"/>
      </rPr>
      <t>Linear scale (1 to 5)</t>
    </r>
    <r>
      <rPr>
        <sz val="11"/>
        <color theme="1"/>
        <rFont val="Arial"/>
        <family val="2"/>
      </rPr>
      <t xml:space="preserve">
1 = Very Poor
5 = Excellent  </t>
    </r>
  </si>
  <si>
    <t xml:space="preserve">Do you have access to mental health counseling in your college?  </t>
  </si>
  <si>
    <t>Counseling Score (1-2)  No=0, Not Sure=1, Yes=2</t>
  </si>
  <si>
    <t xml:space="preserve">How many hours of sleep do you get on average per night?  </t>
  </si>
  <si>
    <t>Sleep Hours</t>
  </si>
  <si>
    <t>Average hours per day spent on social media</t>
  </si>
  <si>
    <t xml:space="preserve">How frequently do you engage in physical activity or exercise?  </t>
  </si>
  <si>
    <t xml:space="preserve">How comfortable are you discussing mental health issues with others?  </t>
  </si>
  <si>
    <t xml:space="preserve">Whom do you approach when you feel mentally overwhelmed?  </t>
  </si>
  <si>
    <t xml:space="preserve">What coping methods do you generally use?  </t>
  </si>
  <si>
    <t>Type of Institution</t>
  </si>
  <si>
    <t xml:space="preserve">On average, how much time do you spend outdoors (e.g., walking, sports, socializing) on a typical day?  </t>
  </si>
  <si>
    <t xml:space="preserve">On average, how much time do you spend indoors (e.g., studying, gaming, watching TV, or staying in your room) on a typical day?  </t>
  </si>
  <si>
    <t>Palak</t>
  </si>
  <si>
    <t xml:space="preserve">Chandigarh University </t>
  </si>
  <si>
    <t>Engineering</t>
  </si>
  <si>
    <t>4th Year</t>
  </si>
  <si>
    <t>21 - 23</t>
  </si>
  <si>
    <t>Female</t>
  </si>
  <si>
    <t>Once a week</t>
  </si>
  <si>
    <t>Yes</t>
  </si>
  <si>
    <t>Not Sure</t>
  </si>
  <si>
    <t>6 - 8 hours</t>
  </si>
  <si>
    <t>More than 4 hours</t>
  </si>
  <si>
    <t>Rarely</t>
  </si>
  <si>
    <t>Somewhat Comfortable</t>
  </si>
  <si>
    <t>Friends</t>
  </si>
  <si>
    <t>Sleep</t>
  </si>
  <si>
    <t>Private</t>
  </si>
  <si>
    <t>Less than 4 hours</t>
  </si>
  <si>
    <t>More than 10 hours</t>
  </si>
  <si>
    <t>Sumanpreet Kaur</t>
  </si>
  <si>
    <t>No</t>
  </si>
  <si>
    <t>2-4 hours</t>
  </si>
  <si>
    <t>Daily</t>
  </si>
  <si>
    <t>Talking to friends/family</t>
  </si>
  <si>
    <t>8–10 hours</t>
  </si>
  <si>
    <t xml:space="preserve">Prateek Maan </t>
  </si>
  <si>
    <t>2nd Year</t>
  </si>
  <si>
    <t>Male</t>
  </si>
  <si>
    <t>Less than 1 hour</t>
  </si>
  <si>
    <t>Listening to music</t>
  </si>
  <si>
    <t>4–6 hours</t>
  </si>
  <si>
    <t xml:space="preserve">Bhavyata Dass </t>
  </si>
  <si>
    <t>4 - 6 hours</t>
  </si>
  <si>
    <t>Very Comfortable</t>
  </si>
  <si>
    <t>No one</t>
  </si>
  <si>
    <t xml:space="preserve">Krish khandelwal </t>
  </si>
  <si>
    <t>18 - 20</t>
  </si>
  <si>
    <t>1-2 hours</t>
  </si>
  <si>
    <t>Not Comfortable</t>
  </si>
  <si>
    <t>Anshika Chauhan</t>
  </si>
  <si>
    <t xml:space="preserve">Abhinesh Kumar </t>
  </si>
  <si>
    <t>Family</t>
  </si>
  <si>
    <t xml:space="preserve">Pratibha </t>
  </si>
  <si>
    <t>Journaling</t>
  </si>
  <si>
    <t>Arth Sharma</t>
  </si>
  <si>
    <t>More than 8 hours</t>
  </si>
  <si>
    <t xml:space="preserve">Jannat walia </t>
  </si>
  <si>
    <t>Several times a week</t>
  </si>
  <si>
    <t xml:space="preserve">Aryan </t>
  </si>
  <si>
    <t>Animesh Kumar</t>
  </si>
  <si>
    <t>Gaming</t>
  </si>
  <si>
    <t>ARS</t>
  </si>
  <si>
    <t>shruti bisht</t>
  </si>
  <si>
    <t xml:space="preserve">Palak Manhas </t>
  </si>
  <si>
    <t xml:space="preserve">Nikhil Raj </t>
  </si>
  <si>
    <t>Ishaan Bansal</t>
  </si>
  <si>
    <t>Aariz</t>
  </si>
  <si>
    <t>Never</t>
  </si>
  <si>
    <t>A few times a week</t>
  </si>
  <si>
    <t xml:space="preserve">Aaryan </t>
  </si>
  <si>
    <t xml:space="preserve">Shriya Singh Thakur </t>
  </si>
  <si>
    <t>Rayat Bahra University</t>
  </si>
  <si>
    <t>Medical</t>
  </si>
  <si>
    <t>Poonam bisht</t>
  </si>
  <si>
    <t xml:space="preserve">Poonam Thakur </t>
  </si>
  <si>
    <t>6–8 hours</t>
  </si>
  <si>
    <t xml:space="preserve">Sooryansh Singh Sengar </t>
  </si>
  <si>
    <t>3rd year</t>
  </si>
  <si>
    <t>Hunar</t>
  </si>
  <si>
    <t>Professors</t>
  </si>
  <si>
    <t xml:space="preserve">Akanksha chambyal </t>
  </si>
  <si>
    <t xml:space="preserve">Saksham </t>
  </si>
  <si>
    <t>Meditation/Yoga/Gym</t>
  </si>
  <si>
    <t xml:space="preserve">Anant prakash </t>
  </si>
  <si>
    <t xml:space="preserve">Abhinav Desai </t>
  </si>
  <si>
    <t xml:space="preserve">Harshvardhan </t>
  </si>
  <si>
    <t xml:space="preserve">Abhishek Kumar Singh </t>
  </si>
  <si>
    <t>Counseling Services</t>
  </si>
  <si>
    <t>Prabhat kumar</t>
  </si>
  <si>
    <t>24 and above</t>
  </si>
  <si>
    <t>ANKIT KUSHWAHA</t>
  </si>
  <si>
    <t>Ayush Sharma</t>
  </si>
  <si>
    <t>W.Deep Luwanag</t>
  </si>
  <si>
    <t>Amogh Gaur</t>
  </si>
  <si>
    <t xml:space="preserve">Nikhil Singh </t>
  </si>
  <si>
    <t>3rd Year</t>
  </si>
  <si>
    <t>Krishna Shah</t>
  </si>
  <si>
    <t>Ajay Kumar</t>
  </si>
  <si>
    <t>Rahul singh</t>
  </si>
  <si>
    <t>Ankita</t>
  </si>
  <si>
    <t>Anjali Sharma</t>
  </si>
  <si>
    <t>Aarav Sharma</t>
  </si>
  <si>
    <t>1st Year</t>
  </si>
  <si>
    <t>Ishita Verma</t>
  </si>
  <si>
    <t>Lovely Professional University</t>
  </si>
  <si>
    <t>Management</t>
  </si>
  <si>
    <t>Rohan Mehta</t>
  </si>
  <si>
    <t>Amity University</t>
  </si>
  <si>
    <t>Commerce</t>
  </si>
  <si>
    <t>Simran Kaur</t>
  </si>
  <si>
    <t>Arts</t>
  </si>
  <si>
    <t>Arjun Nair</t>
  </si>
  <si>
    <t>Kabir Singh</t>
  </si>
  <si>
    <t>Science</t>
  </si>
  <si>
    <t>Ananya Das</t>
  </si>
  <si>
    <t>Dev Patel</t>
  </si>
  <si>
    <t>Neha Reddy</t>
  </si>
  <si>
    <t>Vikram Chauhan</t>
  </si>
  <si>
    <t>Shreya Menon</t>
  </si>
  <si>
    <t>Aryan Kapoor</t>
  </si>
  <si>
    <t>Anika Sharma</t>
  </si>
  <si>
    <t>Rohit Jain</t>
  </si>
  <si>
    <t>Pooja Mehra</t>
  </si>
  <si>
    <t>Arnav Singh</t>
  </si>
  <si>
    <t>2–4 hours</t>
  </si>
  <si>
    <t>Meera Kapoor</t>
  </si>
  <si>
    <t>Parents</t>
  </si>
  <si>
    <t>Ankit Verma</t>
  </si>
  <si>
    <t>3–5 hours</t>
  </si>
  <si>
    <t>7–9 hours</t>
  </si>
  <si>
    <t>Tanya Reddy</t>
  </si>
  <si>
    <t>Kunal Sharma</t>
  </si>
  <si>
    <t>Ritika Gupta</t>
  </si>
  <si>
    <t>Aditya Nair</t>
  </si>
  <si>
    <t>Neutral</t>
  </si>
  <si>
    <t>Naina Kapoor</t>
  </si>
  <si>
    <t>Raghav Singh</t>
  </si>
  <si>
    <t>Shruti Sharma</t>
  </si>
  <si>
    <t>Anirudh Mehta</t>
  </si>
  <si>
    <t>Pallavi Reddy</t>
  </si>
  <si>
    <t>Rishi Kapoor</t>
  </si>
  <si>
    <t>Sanya Mehra</t>
  </si>
  <si>
    <t>Manav Jain</t>
  </si>
  <si>
    <t>Isha Kapoor</t>
  </si>
  <si>
    <t>Ayaan Verma</t>
  </si>
  <si>
    <t>Tara Singh</t>
  </si>
  <si>
    <t>Raghav Mehta</t>
  </si>
  <si>
    <t>Nitya Kapoor</t>
  </si>
  <si>
    <t>Arjun Reddy</t>
  </si>
  <si>
    <t>Anjali Mehra</t>
  </si>
  <si>
    <t>Kavya Sharma</t>
  </si>
  <si>
    <t>Aditya Reddy</t>
  </si>
  <si>
    <t>Ritika Mehta</t>
  </si>
  <si>
    <t>Vivaan Singh</t>
  </si>
  <si>
    <t>Ananya Nair</t>
  </si>
  <si>
    <t>Kunal Kapoor</t>
  </si>
  <si>
    <t>Nisha Verma</t>
  </si>
  <si>
    <t>Rohit Sharma</t>
  </si>
  <si>
    <t>Sanya Kapoor</t>
  </si>
  <si>
    <t>Arnav Mehta</t>
  </si>
  <si>
    <t>Ishita Singh</t>
  </si>
  <si>
    <t>Rishabh Sharma</t>
  </si>
  <si>
    <t>Anaya Verma</t>
  </si>
  <si>
    <t>Dev Mehta</t>
  </si>
  <si>
    <t>Kavya Singh</t>
  </si>
  <si>
    <t>Rohit Verma</t>
  </si>
  <si>
    <t>Arnav Sharma</t>
  </si>
  <si>
    <t>Aryan Mehta</t>
  </si>
  <si>
    <t>Rohit Kapoor</t>
  </si>
  <si>
    <t>Naina Verma</t>
  </si>
  <si>
    <t>Arjun Singh</t>
  </si>
  <si>
    <t>Manav Kapoor</t>
  </si>
  <si>
    <t>Ananya Jain</t>
  </si>
  <si>
    <t>Tanya Sharma</t>
  </si>
  <si>
    <t>Kunal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</si>
</sst>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right"/>
    </xf>
    <xf numFmtId="0" fontId="3" fillId="2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2" fillId="4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4"/>
  <sheetViews>
    <sheetView tabSelected="1" workbookViewId="0">
      <selection activeCell="K1" sqref="K1"/>
    </sheetView>
  </sheetViews>
  <sheetFormatPr defaultRowHeight="14.4" x14ac:dyDescent="0.3"/>
  <cols>
    <col min="1" max="1" width="18" customWidth="1"/>
    <col min="2" max="2" width="21.6640625" customWidth="1"/>
    <col min="3" max="3" width="15" customWidth="1"/>
    <col min="7" max="7" width="16.6640625" customWidth="1"/>
    <col min="8" max="8" width="12.6640625" customWidth="1"/>
    <col min="9" max="9" width="20.5546875" customWidth="1"/>
    <col min="10" max="10" width="14.88671875" customWidth="1"/>
    <col min="11" max="11" width="20" customWidth="1"/>
    <col min="12" max="13" width="16.21875" customWidth="1"/>
    <col min="14" max="14" width="17.77734375" customWidth="1"/>
    <col min="15" max="15" width="12" customWidth="1"/>
    <col min="16" max="16" width="16.44140625" customWidth="1"/>
    <col min="17" max="17" width="12" customWidth="1"/>
    <col min="18" max="18" width="16.6640625" customWidth="1"/>
    <col min="19" max="19" width="14.88671875" customWidth="1"/>
    <col min="20" max="20" width="23.44140625" customWidth="1"/>
    <col min="21" max="21" width="14.44140625" customWidth="1"/>
    <col min="22" max="22" width="13.88671875" customWidth="1"/>
    <col min="23" max="23" width="12.21875" customWidth="1"/>
    <col min="24" max="24" width="23.88671875" customWidth="1"/>
    <col min="25" max="25" width="27.5546875" customWidth="1"/>
  </cols>
  <sheetData>
    <row r="1" spans="1:25" s="9" customFormat="1" ht="82.8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6" t="s">
        <v>9</v>
      </c>
      <c r="K1" s="7" t="s">
        <v>10</v>
      </c>
      <c r="L1" s="8" t="s">
        <v>11</v>
      </c>
      <c r="M1" s="6" t="s">
        <v>12</v>
      </c>
      <c r="N1" s="8" t="s">
        <v>13</v>
      </c>
      <c r="O1" s="6" t="s">
        <v>14</v>
      </c>
      <c r="P1" s="5" t="s">
        <v>15</v>
      </c>
      <c r="Q1" s="6" t="s">
        <v>15</v>
      </c>
      <c r="R1" s="5" t="s">
        <v>16</v>
      </c>
      <c r="S1" s="6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</row>
    <row r="2" spans="1:25" x14ac:dyDescent="0.3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>
        <f>IF(G2="Never",1,
 IF(G2="Rarely",2,
 IF(G2="Once a week",3,
 IF(G2="Several times a week",4,
 IF(G2="Daily",5,"")))))</f>
        <v>3</v>
      </c>
      <c r="I2" s="1" t="s">
        <v>30</v>
      </c>
      <c r="J2" s="1" cm="1">
        <f t="array" ref="J2">_xlfn.SWITCH(I2,"No",0,"Not Sure",1,"Yes",2)</f>
        <v>2</v>
      </c>
      <c r="K2" s="1">
        <v>2</v>
      </c>
      <c r="L2" s="1" t="s">
        <v>31</v>
      </c>
      <c r="M2" s="1" cm="1">
        <f t="array" ref="M2">_xlfn.SWITCH(L2,"No",0,"Not Sure",1,"Yes",2)</f>
        <v>1</v>
      </c>
      <c r="N2" s="1" t="s">
        <v>32</v>
      </c>
      <c r="O2" s="1" cm="1">
        <f t="array" ref="O2">_xlfn.SWITCH(N2,"Less than 4 hours",3,"4 - 6 hours",5,"6 - 8 hours",7,"More than 8 hours",9)</f>
        <v>7</v>
      </c>
      <c r="P2" s="1" t="s">
        <v>33</v>
      </c>
      <c r="Q2" s="1" cm="1">
        <f t="array" ref="Q2">_xlfn.IFS(
    P2="Less than 1 hour", 1,
    P2="1-2 hours", 2,
    P2="2-4 hours", 3,
    P2="More than 4 hours", 4
)</f>
        <v>4</v>
      </c>
      <c r="R2" s="1" t="s">
        <v>34</v>
      </c>
      <c r="S2" s="1" cm="1">
        <f t="array" ref="S2">_xlfn.IFS(
    R2="Never", 1,
    R2="Rarely", 2,
    R2="Once a week", 3,
    R2="A few times a week", 4,
    R2="Daily", 5
)</f>
        <v>2</v>
      </c>
      <c r="T2" s="1" t="s">
        <v>35</v>
      </c>
      <c r="U2" s="1" t="s">
        <v>36</v>
      </c>
      <c r="V2" s="1" t="s">
        <v>37</v>
      </c>
      <c r="W2" s="1" t="s">
        <v>38</v>
      </c>
      <c r="X2" s="1" t="s">
        <v>39</v>
      </c>
      <c r="Y2" s="1" t="s">
        <v>40</v>
      </c>
    </row>
    <row r="3" spans="1:25" x14ac:dyDescent="0.3">
      <c r="A3" s="1" t="s">
        <v>41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>
        <f t="shared" ref="H3:H66" si="0">IF(G3="Never",1,
 IF(G3="Rarely",2,
 IF(G3="Once a week",3,
 IF(G3="Several times a week",4,
 IF(G3="Daily",5,"")))))</f>
        <v>3</v>
      </c>
      <c r="I3" s="1" t="s">
        <v>42</v>
      </c>
      <c r="J3" s="1" cm="1">
        <f t="array" ref="J3">_xlfn.SWITCH(I3,"No",0,"Not Sure",1,"Yes",2)</f>
        <v>0</v>
      </c>
      <c r="K3" s="1">
        <v>4</v>
      </c>
      <c r="L3" s="1" t="s">
        <v>31</v>
      </c>
      <c r="M3" s="1" cm="1">
        <f t="array" ref="M3">_xlfn.SWITCH(L3,"No",0,"Not Sure",1,"Yes",2)</f>
        <v>1</v>
      </c>
      <c r="N3" s="1" t="s">
        <v>32</v>
      </c>
      <c r="O3" s="1" cm="1">
        <f t="array" ref="O3">_xlfn.SWITCH(N3,"Less than 4 hours",3,"4 - 6 hours",5,"6 - 8 hours",7,"More than 8 hours",9)</f>
        <v>7</v>
      </c>
      <c r="P3" s="1" t="s">
        <v>43</v>
      </c>
      <c r="Q3" s="1" cm="1">
        <f t="array" ref="Q3">_xlfn.IFS(
    P3="Less than 1 hour", 1,
    P3="1-2 hours", 2,
    P3="2-4 hours", 3,
    P3="More than 4 hours", 4
)</f>
        <v>3</v>
      </c>
      <c r="R3" s="1" t="s">
        <v>44</v>
      </c>
      <c r="S3" s="1" cm="1">
        <f t="array" ref="S3">_xlfn.IFS(
    R3="Never", 1,
    R3="Rarely", 2,
    R3="Once a week", 3,
    R3="A few times a week", 4,
    R3="Daily", 5
)</f>
        <v>5</v>
      </c>
      <c r="T3" s="1" t="s">
        <v>35</v>
      </c>
      <c r="U3" s="1" t="s">
        <v>36</v>
      </c>
      <c r="V3" s="1" t="s">
        <v>45</v>
      </c>
      <c r="W3" s="1" t="s">
        <v>38</v>
      </c>
      <c r="X3" s="1" t="s">
        <v>39</v>
      </c>
      <c r="Y3" s="1" t="s">
        <v>46</v>
      </c>
    </row>
    <row r="4" spans="1:25" x14ac:dyDescent="0.3">
      <c r="A4" s="1" t="s">
        <v>47</v>
      </c>
      <c r="B4" s="1" t="s">
        <v>24</v>
      </c>
      <c r="C4" s="1" t="s">
        <v>25</v>
      </c>
      <c r="D4" s="1" t="s">
        <v>48</v>
      </c>
      <c r="E4" s="1" t="s">
        <v>27</v>
      </c>
      <c r="F4" s="1" t="s">
        <v>49</v>
      </c>
      <c r="G4" s="1" t="s">
        <v>29</v>
      </c>
      <c r="H4" s="1">
        <f t="shared" si="0"/>
        <v>3</v>
      </c>
      <c r="I4" s="1" t="s">
        <v>30</v>
      </c>
      <c r="J4" s="1" cm="1">
        <f t="array" ref="J4">_xlfn.SWITCH(I4,"No",0,"Not Sure",1,"Yes",2)</f>
        <v>2</v>
      </c>
      <c r="K4" s="1">
        <v>2</v>
      </c>
      <c r="L4" s="1" t="s">
        <v>31</v>
      </c>
      <c r="M4" s="1" cm="1">
        <f t="array" ref="M4">_xlfn.SWITCH(L4,"No",0,"Not Sure",1,"Yes",2)</f>
        <v>1</v>
      </c>
      <c r="N4" s="1" t="s">
        <v>32</v>
      </c>
      <c r="O4" s="1" cm="1">
        <f t="array" ref="O4">_xlfn.SWITCH(N4,"Less than 4 hours",3,"4 - 6 hours",5,"6 - 8 hours",7,"More than 8 hours",9)</f>
        <v>7</v>
      </c>
      <c r="P4" s="1" t="s">
        <v>50</v>
      </c>
      <c r="Q4" s="1" cm="1">
        <f t="array" ref="Q4">_xlfn.IFS(
    P4="Less than 1 hour", 1,
    P4="1-2 hours", 2,
    P4="2-4 hours", 3,
    P4="More than 4 hours", 4
)</f>
        <v>1</v>
      </c>
      <c r="R4" s="1" t="s">
        <v>29</v>
      </c>
      <c r="S4" s="1" cm="1">
        <f t="array" ref="S4">_xlfn.IFS(
    R4="Never", 1,
    R4="Rarely", 2,
    R4="Once a week", 3,
    R4="A few times a week", 4,
    R4="Daily", 5
)</f>
        <v>3</v>
      </c>
      <c r="T4" s="1" t="s">
        <v>35</v>
      </c>
      <c r="U4" s="1" t="s">
        <v>36</v>
      </c>
      <c r="V4" s="1" t="s">
        <v>51</v>
      </c>
      <c r="W4" s="1" t="s">
        <v>38</v>
      </c>
      <c r="X4" s="1" t="s">
        <v>46</v>
      </c>
      <c r="Y4" s="1" t="s">
        <v>52</v>
      </c>
    </row>
    <row r="5" spans="1:25" x14ac:dyDescent="0.3">
      <c r="A5" s="1" t="s">
        <v>53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44</v>
      </c>
      <c r="H5" s="1">
        <f t="shared" si="0"/>
        <v>5</v>
      </c>
      <c r="I5" s="1" t="s">
        <v>30</v>
      </c>
      <c r="J5" s="1" cm="1">
        <f t="array" ref="J5">_xlfn.SWITCH(I5,"No",0,"Not Sure",1,"Yes",2)</f>
        <v>2</v>
      </c>
      <c r="K5" s="1">
        <v>2</v>
      </c>
      <c r="L5" s="1" t="s">
        <v>30</v>
      </c>
      <c r="M5" s="1" cm="1">
        <f t="array" ref="M5">_xlfn.SWITCH(L5,"No",0,"Not Sure",1,"Yes",2)</f>
        <v>2</v>
      </c>
      <c r="N5" s="1" t="s">
        <v>54</v>
      </c>
      <c r="O5" s="1" cm="1">
        <f t="array" ref="O5">_xlfn.SWITCH(N5,"Less than 4 hours",3,"4 - 6 hours",5,"6 - 8 hours",7,"More than 8 hours",9)</f>
        <v>5</v>
      </c>
      <c r="P5" s="1" t="s">
        <v>43</v>
      </c>
      <c r="Q5" s="1" cm="1">
        <f t="array" ref="Q5">_xlfn.IFS(
    P5="Less than 1 hour", 1,
    P5="1-2 hours", 2,
    P5="2-4 hours", 3,
    P5="More than 4 hours", 4
)</f>
        <v>3</v>
      </c>
      <c r="R5" s="1" t="s">
        <v>34</v>
      </c>
      <c r="S5" s="1" cm="1">
        <f t="array" ref="S5">_xlfn.IFS(
    R5="Never", 1,
    R5="Rarely", 2,
    R5="Once a week", 3,
    R5="A few times a week", 4,
    R5="Daily", 5
)</f>
        <v>2</v>
      </c>
      <c r="T5" s="1" t="s">
        <v>55</v>
      </c>
      <c r="U5" s="1" t="s">
        <v>56</v>
      </c>
      <c r="V5" s="1" t="s">
        <v>37</v>
      </c>
      <c r="W5" s="1" t="s">
        <v>38</v>
      </c>
      <c r="X5" s="1" t="s">
        <v>39</v>
      </c>
      <c r="Y5" s="1" t="s">
        <v>40</v>
      </c>
    </row>
    <row r="6" spans="1:25" x14ac:dyDescent="0.3">
      <c r="A6" s="1" t="s">
        <v>57</v>
      </c>
      <c r="B6" s="1" t="s">
        <v>24</v>
      </c>
      <c r="C6" s="1" t="s">
        <v>25</v>
      </c>
      <c r="D6" s="1" t="s">
        <v>26</v>
      </c>
      <c r="E6" s="1" t="s">
        <v>58</v>
      </c>
      <c r="F6" s="1" t="s">
        <v>49</v>
      </c>
      <c r="G6" s="1" t="s">
        <v>44</v>
      </c>
      <c r="H6" s="1">
        <f t="shared" si="0"/>
        <v>5</v>
      </c>
      <c r="I6" s="1" t="s">
        <v>30</v>
      </c>
      <c r="J6" s="1" cm="1">
        <f t="array" ref="J6">_xlfn.SWITCH(I6,"No",0,"Not Sure",1,"Yes",2)</f>
        <v>2</v>
      </c>
      <c r="K6" s="1">
        <v>1</v>
      </c>
      <c r="L6" s="1" t="s">
        <v>42</v>
      </c>
      <c r="M6" s="1" cm="1">
        <f t="array" ref="M6">_xlfn.SWITCH(L6,"No",0,"Not Sure",1,"Yes",2)</f>
        <v>0</v>
      </c>
      <c r="N6" s="1" t="s">
        <v>39</v>
      </c>
      <c r="O6" s="1" cm="1">
        <f t="array" ref="O6">_xlfn.SWITCH(N6,"Less than 4 hours",3,"4 - 6 hours",5,"6 - 8 hours",7,"More than 8 hours",9)</f>
        <v>3</v>
      </c>
      <c r="P6" s="1" t="s">
        <v>59</v>
      </c>
      <c r="Q6" s="1" cm="1">
        <f t="array" ref="Q6">_xlfn.IFS(
    P6="Less than 1 hour", 1,
    P6="1-2 hours", 2,
    P6="2-4 hours", 3,
    P6="More than 4 hours", 4
)</f>
        <v>2</v>
      </c>
      <c r="R6" s="1" t="s">
        <v>34</v>
      </c>
      <c r="S6" s="1" cm="1">
        <f t="array" ref="S6">_xlfn.IFS(
    R6="Never", 1,
    R6="Rarely", 2,
    R6="Once a week", 3,
    R6="A few times a week", 4,
    R6="Daily", 5
)</f>
        <v>2</v>
      </c>
      <c r="T6" s="1" t="s">
        <v>60</v>
      </c>
      <c r="U6" s="1" t="s">
        <v>56</v>
      </c>
      <c r="V6" s="1" t="s">
        <v>51</v>
      </c>
      <c r="W6" s="1" t="s">
        <v>38</v>
      </c>
      <c r="X6" s="1" t="s">
        <v>39</v>
      </c>
      <c r="Y6" s="1" t="s">
        <v>39</v>
      </c>
    </row>
    <row r="7" spans="1:25" x14ac:dyDescent="0.3">
      <c r="A7" s="1" t="s">
        <v>61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44</v>
      </c>
      <c r="H7" s="1">
        <f t="shared" si="0"/>
        <v>5</v>
      </c>
      <c r="I7" s="1" t="s">
        <v>30</v>
      </c>
      <c r="J7" s="1" cm="1">
        <f t="array" ref="J7">_xlfn.SWITCH(I7,"No",0,"Not Sure",1,"Yes",2)</f>
        <v>2</v>
      </c>
      <c r="K7" s="1">
        <v>3</v>
      </c>
      <c r="L7" s="1" t="s">
        <v>30</v>
      </c>
      <c r="M7" s="1" cm="1">
        <f t="array" ref="M7">_xlfn.SWITCH(L7,"No",0,"Not Sure",1,"Yes",2)</f>
        <v>2</v>
      </c>
      <c r="N7" s="1" t="s">
        <v>54</v>
      </c>
      <c r="O7" s="1" cm="1">
        <f t="array" ref="O7">_xlfn.SWITCH(N7,"Less than 4 hours",3,"4 - 6 hours",5,"6 - 8 hours",7,"More than 8 hours",9)</f>
        <v>5</v>
      </c>
      <c r="P7" s="1" t="s">
        <v>59</v>
      </c>
      <c r="Q7" s="1" cm="1">
        <f t="array" ref="Q7">_xlfn.IFS(
    P7="Less than 1 hour", 1,
    P7="1-2 hours", 2,
    P7="2-4 hours", 3,
    P7="More than 4 hours", 4
)</f>
        <v>2</v>
      </c>
      <c r="R7" s="1" t="s">
        <v>34</v>
      </c>
      <c r="S7" s="1" cm="1">
        <f t="array" ref="S7">_xlfn.IFS(
    R7="Never", 1,
    R7="Rarely", 2,
    R7="Once a week", 3,
    R7="A few times a week", 4,
    R7="Daily", 5
)</f>
        <v>2</v>
      </c>
      <c r="T7" s="1" t="s">
        <v>60</v>
      </c>
      <c r="U7" s="1" t="s">
        <v>36</v>
      </c>
      <c r="V7" s="1" t="s">
        <v>37</v>
      </c>
      <c r="W7" s="1" t="s">
        <v>38</v>
      </c>
      <c r="X7" s="1" t="s">
        <v>39</v>
      </c>
      <c r="Y7" s="1" t="s">
        <v>46</v>
      </c>
    </row>
    <row r="8" spans="1:25" x14ac:dyDescent="0.3">
      <c r="A8" s="1" t="s">
        <v>62</v>
      </c>
      <c r="B8" s="1" t="s">
        <v>24</v>
      </c>
      <c r="C8" s="1" t="s">
        <v>25</v>
      </c>
      <c r="D8" s="1" t="s">
        <v>26</v>
      </c>
      <c r="E8" s="1" t="s">
        <v>27</v>
      </c>
      <c r="F8" s="1" t="s">
        <v>49</v>
      </c>
      <c r="G8" s="1" t="s">
        <v>44</v>
      </c>
      <c r="H8" s="1">
        <f t="shared" si="0"/>
        <v>5</v>
      </c>
      <c r="I8" s="1" t="s">
        <v>30</v>
      </c>
      <c r="J8" s="1" cm="1">
        <f t="array" ref="J8">_xlfn.SWITCH(I8,"No",0,"Not Sure",1,"Yes",2)</f>
        <v>2</v>
      </c>
      <c r="K8" s="1">
        <v>1</v>
      </c>
      <c r="L8" s="1" t="s">
        <v>30</v>
      </c>
      <c r="M8" s="1" cm="1">
        <f t="array" ref="M8">_xlfn.SWITCH(L8,"No",0,"Not Sure",1,"Yes",2)</f>
        <v>2</v>
      </c>
      <c r="N8" s="1" t="s">
        <v>54</v>
      </c>
      <c r="O8" s="1" cm="1">
        <f t="array" ref="O8">_xlfn.SWITCH(N8,"Less than 4 hours",3,"4 - 6 hours",5,"6 - 8 hours",7,"More than 8 hours",9)</f>
        <v>5</v>
      </c>
      <c r="P8" s="1" t="s">
        <v>59</v>
      </c>
      <c r="Q8" s="1" cm="1">
        <f t="array" ref="Q8">_xlfn.IFS(
    P8="Less than 1 hour", 1,
    P8="1-2 hours", 2,
    P8="2-4 hours", 3,
    P8="More than 4 hours", 4
)</f>
        <v>2</v>
      </c>
      <c r="R8" s="1" t="s">
        <v>29</v>
      </c>
      <c r="S8" s="1" cm="1">
        <f t="array" ref="S8">_xlfn.IFS(
    R8="Never", 1,
    R8="Rarely", 2,
    R8="Once a week", 3,
    R8="A few times a week", 4,
    R8="Daily", 5
)</f>
        <v>3</v>
      </c>
      <c r="T8" s="1" t="s">
        <v>60</v>
      </c>
      <c r="U8" s="1" t="s">
        <v>63</v>
      </c>
      <c r="V8" s="1" t="s">
        <v>45</v>
      </c>
      <c r="W8" s="1" t="s">
        <v>38</v>
      </c>
      <c r="X8" s="1" t="s">
        <v>39</v>
      </c>
      <c r="Y8" s="1" t="s">
        <v>52</v>
      </c>
    </row>
    <row r="9" spans="1:25" x14ac:dyDescent="0.3">
      <c r="A9" s="1" t="s">
        <v>64</v>
      </c>
      <c r="B9" s="1" t="s">
        <v>24</v>
      </c>
      <c r="C9" s="1" t="s">
        <v>25</v>
      </c>
      <c r="D9" s="1" t="s">
        <v>26</v>
      </c>
      <c r="E9" s="1" t="s">
        <v>27</v>
      </c>
      <c r="F9" s="1" t="s">
        <v>28</v>
      </c>
      <c r="G9" s="1" t="s">
        <v>44</v>
      </c>
      <c r="H9" s="1">
        <f t="shared" si="0"/>
        <v>5</v>
      </c>
      <c r="I9" s="1" t="s">
        <v>31</v>
      </c>
      <c r="J9" s="1" cm="1">
        <f t="array" ref="J9">_xlfn.SWITCH(I9,"No",0,"Not Sure",1,"Yes",2)</f>
        <v>1</v>
      </c>
      <c r="K9" s="1">
        <v>4</v>
      </c>
      <c r="L9" s="1" t="s">
        <v>42</v>
      </c>
      <c r="M9" s="1" cm="1">
        <f t="array" ref="M9">_xlfn.SWITCH(L9,"No",0,"Not Sure",1,"Yes",2)</f>
        <v>0</v>
      </c>
      <c r="N9" s="1" t="s">
        <v>32</v>
      </c>
      <c r="O9" s="1" cm="1">
        <f t="array" ref="O9">_xlfn.SWITCH(N9,"Less than 4 hours",3,"4 - 6 hours",5,"6 - 8 hours",7,"More than 8 hours",9)</f>
        <v>7</v>
      </c>
      <c r="P9" s="1" t="s">
        <v>43</v>
      </c>
      <c r="Q9" s="1" cm="1">
        <f t="array" ref="Q9">_xlfn.IFS(
    P9="Less than 1 hour", 1,
    P9="1-2 hours", 2,
    P9="2-4 hours", 3,
    P9="More than 4 hours", 4
)</f>
        <v>3</v>
      </c>
      <c r="R9" s="1" t="s">
        <v>34</v>
      </c>
      <c r="S9" s="1" cm="1">
        <f t="array" ref="S9">_xlfn.IFS(
    R9="Never", 1,
    R9="Rarely", 2,
    R9="Once a week", 3,
    R9="A few times a week", 4,
    R9="Daily", 5
)</f>
        <v>2</v>
      </c>
      <c r="T9" s="1" t="s">
        <v>35</v>
      </c>
      <c r="U9" s="1" t="s">
        <v>36</v>
      </c>
      <c r="V9" s="1" t="s">
        <v>65</v>
      </c>
      <c r="W9" s="1" t="s">
        <v>38</v>
      </c>
      <c r="X9" s="1" t="s">
        <v>39</v>
      </c>
      <c r="Y9" s="1" t="s">
        <v>40</v>
      </c>
    </row>
    <row r="10" spans="1:25" x14ac:dyDescent="0.3">
      <c r="A10" s="1" t="s">
        <v>66</v>
      </c>
      <c r="B10" s="1" t="s">
        <v>24</v>
      </c>
      <c r="C10" s="1" t="s">
        <v>25</v>
      </c>
      <c r="D10" s="1" t="s">
        <v>26</v>
      </c>
      <c r="E10" s="1" t="s">
        <v>58</v>
      </c>
      <c r="F10" s="1" t="s">
        <v>49</v>
      </c>
      <c r="G10" s="1" t="s">
        <v>34</v>
      </c>
      <c r="H10" s="1">
        <f t="shared" si="0"/>
        <v>2</v>
      </c>
      <c r="I10" s="1" t="s">
        <v>42</v>
      </c>
      <c r="J10" s="1" cm="1">
        <f t="array" ref="J10">_xlfn.SWITCH(I10,"No",0,"Not Sure",1,"Yes",2)</f>
        <v>0</v>
      </c>
      <c r="K10" s="1">
        <v>4</v>
      </c>
      <c r="L10" s="1" t="s">
        <v>42</v>
      </c>
      <c r="M10" s="1" cm="1">
        <f t="array" ref="M10">_xlfn.SWITCH(L10,"No",0,"Not Sure",1,"Yes",2)</f>
        <v>0</v>
      </c>
      <c r="N10" s="1" t="s">
        <v>67</v>
      </c>
      <c r="O10" s="1" cm="1">
        <f t="array" ref="O10">_xlfn.SWITCH(N10,"Less than 4 hours",3,"4 - 6 hours",5,"6 - 8 hours",7,"More than 8 hours",9)</f>
        <v>9</v>
      </c>
      <c r="P10" s="1" t="s">
        <v>43</v>
      </c>
      <c r="Q10" s="1" cm="1">
        <f t="array" ref="Q10">_xlfn.IFS(
    P10="Less than 1 hour", 1,
    P10="1-2 hours", 2,
    P10="2-4 hours", 3,
    P10="More than 4 hours", 4
)</f>
        <v>3</v>
      </c>
      <c r="R10" s="1" t="s">
        <v>44</v>
      </c>
      <c r="S10" s="1" cm="1">
        <f t="array" ref="S10">_xlfn.IFS(
    R10="Never", 1,
    R10="Rarely", 2,
    R10="Once a week", 3,
    R10="A few times a week", 4,
    R10="Daily", 5
)</f>
        <v>5</v>
      </c>
      <c r="T10" s="1" t="s">
        <v>35</v>
      </c>
      <c r="U10" s="1" t="s">
        <v>63</v>
      </c>
      <c r="V10" s="1" t="s">
        <v>37</v>
      </c>
      <c r="W10" s="1" t="s">
        <v>38</v>
      </c>
      <c r="X10" s="1" t="s">
        <v>39</v>
      </c>
      <c r="Y10" s="1" t="s">
        <v>46</v>
      </c>
    </row>
    <row r="11" spans="1:25" x14ac:dyDescent="0.3">
      <c r="A11" s="1" t="s">
        <v>68</v>
      </c>
      <c r="B11" s="1" t="s">
        <v>24</v>
      </c>
      <c r="C11" s="1" t="s">
        <v>25</v>
      </c>
      <c r="D11" s="1" t="s">
        <v>26</v>
      </c>
      <c r="E11" s="1" t="s">
        <v>27</v>
      </c>
      <c r="F11" s="1" t="s">
        <v>28</v>
      </c>
      <c r="G11" s="1" t="s">
        <v>69</v>
      </c>
      <c r="H11" s="1">
        <f t="shared" si="0"/>
        <v>4</v>
      </c>
      <c r="I11" s="1" t="s">
        <v>30</v>
      </c>
      <c r="J11" s="1" cm="1">
        <f t="array" ref="J11">_xlfn.SWITCH(I11,"No",0,"Not Sure",1,"Yes",2)</f>
        <v>2</v>
      </c>
      <c r="K11" s="1">
        <v>2</v>
      </c>
      <c r="L11" s="1" t="s">
        <v>30</v>
      </c>
      <c r="M11" s="1" cm="1">
        <f t="array" ref="M11">_xlfn.SWITCH(L11,"No",0,"Not Sure",1,"Yes",2)</f>
        <v>2</v>
      </c>
      <c r="N11" s="1" t="s">
        <v>32</v>
      </c>
      <c r="O11" s="1" cm="1">
        <f t="array" ref="O11">_xlfn.SWITCH(N11,"Less than 4 hours",3,"4 - 6 hours",5,"6 - 8 hours",7,"More than 8 hours",9)</f>
        <v>7</v>
      </c>
      <c r="P11" s="1" t="s">
        <v>43</v>
      </c>
      <c r="Q11" s="1" cm="1">
        <f t="array" ref="Q11">_xlfn.IFS(
    P11="Less than 1 hour", 1,
    P11="1-2 hours", 2,
    P11="2-4 hours", 3,
    P11="More than 4 hours", 4
)</f>
        <v>3</v>
      </c>
      <c r="R11" s="1" t="s">
        <v>29</v>
      </c>
      <c r="S11" s="1" cm="1">
        <f t="array" ref="S11">_xlfn.IFS(
    R11="Never", 1,
    R11="Rarely", 2,
    R11="Once a week", 3,
    R11="A few times a week", 4,
    R11="Daily", 5
)</f>
        <v>3</v>
      </c>
      <c r="T11" s="1" t="s">
        <v>35</v>
      </c>
      <c r="U11" s="1" t="s">
        <v>63</v>
      </c>
      <c r="V11" s="1" t="s">
        <v>51</v>
      </c>
      <c r="W11" s="1" t="s">
        <v>38</v>
      </c>
      <c r="X11" s="1" t="s">
        <v>39</v>
      </c>
      <c r="Y11" s="1" t="s">
        <v>46</v>
      </c>
    </row>
    <row r="12" spans="1:25" x14ac:dyDescent="0.3">
      <c r="A12" s="1" t="s">
        <v>70</v>
      </c>
      <c r="B12" s="1" t="s">
        <v>24</v>
      </c>
      <c r="C12" s="1" t="s">
        <v>25</v>
      </c>
      <c r="D12" s="1" t="s">
        <v>26</v>
      </c>
      <c r="E12" s="1" t="s">
        <v>27</v>
      </c>
      <c r="F12" s="1" t="s">
        <v>49</v>
      </c>
      <c r="G12" s="1" t="s">
        <v>69</v>
      </c>
      <c r="H12" s="1">
        <f t="shared" si="0"/>
        <v>4</v>
      </c>
      <c r="I12" s="1" t="s">
        <v>30</v>
      </c>
      <c r="J12" s="1" cm="1">
        <f t="array" ref="J12">_xlfn.SWITCH(I12,"No",0,"Not Sure",1,"Yes",2)</f>
        <v>2</v>
      </c>
      <c r="K12" s="1">
        <v>2</v>
      </c>
      <c r="L12" s="1" t="s">
        <v>42</v>
      </c>
      <c r="M12" s="1" cm="1">
        <f t="array" ref="M12">_xlfn.SWITCH(L12,"No",0,"Not Sure",1,"Yes",2)</f>
        <v>0</v>
      </c>
      <c r="N12" s="1" t="s">
        <v>54</v>
      </c>
      <c r="O12" s="1" cm="1">
        <f t="array" ref="O12">_xlfn.SWITCH(N12,"Less than 4 hours",3,"4 - 6 hours",5,"6 - 8 hours",7,"More than 8 hours",9)</f>
        <v>5</v>
      </c>
      <c r="P12" s="1" t="s">
        <v>33</v>
      </c>
      <c r="Q12" s="1" cm="1">
        <f t="array" ref="Q12">_xlfn.IFS(
    P12="Less than 1 hour", 1,
    P12="1-2 hours", 2,
    P12="2-4 hours", 3,
    P12="More than 4 hours", 4
)</f>
        <v>4</v>
      </c>
      <c r="R12" s="1" t="s">
        <v>44</v>
      </c>
      <c r="S12" s="1" cm="1">
        <f t="array" ref="S12">_xlfn.IFS(
    R12="Never", 1,
    R12="Rarely", 2,
    R12="Once a week", 3,
    R12="A few times a week", 4,
    R12="Daily", 5
)</f>
        <v>5</v>
      </c>
      <c r="T12" s="1" t="s">
        <v>35</v>
      </c>
      <c r="U12" s="1" t="s">
        <v>56</v>
      </c>
      <c r="V12" s="1" t="s">
        <v>51</v>
      </c>
      <c r="W12" s="1" t="s">
        <v>38</v>
      </c>
      <c r="X12" s="1" t="s">
        <v>39</v>
      </c>
      <c r="Y12" s="1" t="s">
        <v>40</v>
      </c>
    </row>
    <row r="13" spans="1:25" x14ac:dyDescent="0.3">
      <c r="A13" s="1" t="s">
        <v>71</v>
      </c>
      <c r="B13" s="1" t="s">
        <v>24</v>
      </c>
      <c r="C13" s="1" t="s">
        <v>25</v>
      </c>
      <c r="D13" s="1" t="s">
        <v>26</v>
      </c>
      <c r="E13" s="1" t="s">
        <v>27</v>
      </c>
      <c r="F13" s="1" t="s">
        <v>49</v>
      </c>
      <c r="G13" s="1" t="s">
        <v>29</v>
      </c>
      <c r="H13" s="1">
        <f t="shared" si="0"/>
        <v>3</v>
      </c>
      <c r="I13" s="1" t="s">
        <v>30</v>
      </c>
      <c r="J13" s="1" cm="1">
        <f t="array" ref="J13">_xlfn.SWITCH(I13,"No",0,"Not Sure",1,"Yes",2)</f>
        <v>2</v>
      </c>
      <c r="K13" s="1">
        <v>3</v>
      </c>
      <c r="L13" s="1" t="s">
        <v>30</v>
      </c>
      <c r="M13" s="1" cm="1">
        <f t="array" ref="M13">_xlfn.SWITCH(L13,"No",0,"Not Sure",1,"Yes",2)</f>
        <v>2</v>
      </c>
      <c r="N13" s="1" t="s">
        <v>32</v>
      </c>
      <c r="O13" s="1" cm="1">
        <f t="array" ref="O13">_xlfn.SWITCH(N13,"Less than 4 hours",3,"4 - 6 hours",5,"6 - 8 hours",7,"More than 8 hours",9)</f>
        <v>7</v>
      </c>
      <c r="P13" s="1" t="s">
        <v>43</v>
      </c>
      <c r="Q13" s="1" cm="1">
        <f t="array" ref="Q13">_xlfn.IFS(
    P13="Less than 1 hour", 1,
    P13="1-2 hours", 2,
    P13="2-4 hours", 3,
    P13="More than 4 hours", 4
)</f>
        <v>3</v>
      </c>
      <c r="R13" s="1" t="s">
        <v>44</v>
      </c>
      <c r="S13" s="1" cm="1">
        <f t="array" ref="S13">_xlfn.IFS(
    R13="Never", 1,
    R13="Rarely", 2,
    R13="Once a week", 3,
    R13="A few times a week", 4,
    R13="Daily", 5
)</f>
        <v>5</v>
      </c>
      <c r="T13" s="1" t="s">
        <v>60</v>
      </c>
      <c r="U13" s="1" t="s">
        <v>63</v>
      </c>
      <c r="V13" s="1" t="s">
        <v>72</v>
      </c>
      <c r="W13" s="1" t="s">
        <v>38</v>
      </c>
      <c r="X13" s="1" t="s">
        <v>39</v>
      </c>
      <c r="Y13" s="1" t="s">
        <v>40</v>
      </c>
    </row>
    <row r="14" spans="1:25" x14ac:dyDescent="0.3">
      <c r="A14" s="1" t="s">
        <v>73</v>
      </c>
      <c r="B14" s="1" t="s">
        <v>24</v>
      </c>
      <c r="C14" s="1" t="s">
        <v>25</v>
      </c>
      <c r="D14" s="1" t="s">
        <v>26</v>
      </c>
      <c r="E14" s="1" t="s">
        <v>27</v>
      </c>
      <c r="F14" s="1" t="s">
        <v>28</v>
      </c>
      <c r="G14" s="1" t="s">
        <v>29</v>
      </c>
      <c r="H14" s="1">
        <f t="shared" si="0"/>
        <v>3</v>
      </c>
      <c r="I14" s="1" t="s">
        <v>30</v>
      </c>
      <c r="J14" s="1" cm="1">
        <f t="array" ref="J14">_xlfn.SWITCH(I14,"No",0,"Not Sure",1,"Yes",2)</f>
        <v>2</v>
      </c>
      <c r="K14" s="1">
        <v>3</v>
      </c>
      <c r="L14" s="1" t="s">
        <v>42</v>
      </c>
      <c r="M14" s="1" cm="1">
        <f t="array" ref="M14">_xlfn.SWITCH(L14,"No",0,"Not Sure",1,"Yes",2)</f>
        <v>0</v>
      </c>
      <c r="N14" s="1" t="s">
        <v>54</v>
      </c>
      <c r="O14" s="1" cm="1">
        <f t="array" ref="O14">_xlfn.SWITCH(N14,"Less than 4 hours",3,"4 - 6 hours",5,"6 - 8 hours",7,"More than 8 hours",9)</f>
        <v>5</v>
      </c>
      <c r="P14" s="1" t="s">
        <v>43</v>
      </c>
      <c r="Q14" s="1" cm="1">
        <f t="array" ref="Q14">_xlfn.IFS(
    P14="Less than 1 hour", 1,
    P14="1-2 hours", 2,
    P14="2-4 hours", 3,
    P14="More than 4 hours", 4
)</f>
        <v>3</v>
      </c>
      <c r="R14" s="1" t="s">
        <v>34</v>
      </c>
      <c r="S14" s="1" cm="1">
        <f t="array" ref="S14">_xlfn.IFS(
    R14="Never", 1,
    R14="Rarely", 2,
    R14="Once a week", 3,
    R14="A few times a week", 4,
    R14="Daily", 5
)</f>
        <v>2</v>
      </c>
      <c r="T14" s="1" t="s">
        <v>55</v>
      </c>
      <c r="U14" s="1" t="s">
        <v>56</v>
      </c>
      <c r="V14" s="1" t="s">
        <v>37</v>
      </c>
      <c r="W14" s="1" t="s">
        <v>38</v>
      </c>
      <c r="X14" s="1" t="s">
        <v>39</v>
      </c>
      <c r="Y14" s="1" t="s">
        <v>46</v>
      </c>
    </row>
    <row r="15" spans="1:25" x14ac:dyDescent="0.3">
      <c r="A15" s="1" t="s">
        <v>74</v>
      </c>
      <c r="B15" s="1" t="s">
        <v>24</v>
      </c>
      <c r="C15" s="1" t="s">
        <v>25</v>
      </c>
      <c r="D15" s="1" t="s">
        <v>26</v>
      </c>
      <c r="E15" s="1" t="s">
        <v>58</v>
      </c>
      <c r="F15" s="1" t="s">
        <v>28</v>
      </c>
      <c r="G15" s="1" t="s">
        <v>44</v>
      </c>
      <c r="H15" s="1">
        <f t="shared" si="0"/>
        <v>5</v>
      </c>
      <c r="I15" s="1" t="s">
        <v>30</v>
      </c>
      <c r="J15" s="1" cm="1">
        <f t="array" ref="J15">_xlfn.SWITCH(I15,"No",0,"Not Sure",1,"Yes",2)</f>
        <v>2</v>
      </c>
      <c r="K15" s="1">
        <v>2</v>
      </c>
      <c r="L15" s="1" t="s">
        <v>30</v>
      </c>
      <c r="M15" s="1" cm="1">
        <f t="array" ref="M15">_xlfn.SWITCH(L15,"No",0,"Not Sure",1,"Yes",2)</f>
        <v>2</v>
      </c>
      <c r="N15" s="1" t="s">
        <v>32</v>
      </c>
      <c r="O15" s="1" cm="1">
        <f t="array" ref="O15">_xlfn.SWITCH(N15,"Less than 4 hours",3,"4 - 6 hours",5,"6 - 8 hours",7,"More than 8 hours",9)</f>
        <v>7</v>
      </c>
      <c r="P15" s="1" t="s">
        <v>33</v>
      </c>
      <c r="Q15" s="1" cm="1">
        <f t="array" ref="Q15">_xlfn.IFS(
    P15="Less than 1 hour", 1,
    P15="1-2 hours", 2,
    P15="2-4 hours", 3,
    P15="More than 4 hours", 4
)</f>
        <v>4</v>
      </c>
      <c r="R15" s="1" t="s">
        <v>29</v>
      </c>
      <c r="S15" s="1" cm="1">
        <f t="array" ref="S15">_xlfn.IFS(
    R15="Never", 1,
    R15="Rarely", 2,
    R15="Once a week", 3,
    R15="A few times a week", 4,
    R15="Daily", 5
)</f>
        <v>3</v>
      </c>
      <c r="T15" s="1" t="s">
        <v>35</v>
      </c>
      <c r="U15" s="1" t="s">
        <v>63</v>
      </c>
      <c r="V15" s="1" t="s">
        <v>51</v>
      </c>
      <c r="W15" s="1" t="s">
        <v>38</v>
      </c>
      <c r="X15" s="1" t="s">
        <v>39</v>
      </c>
      <c r="Y15" s="1" t="s">
        <v>40</v>
      </c>
    </row>
    <row r="16" spans="1:25" x14ac:dyDescent="0.3">
      <c r="A16" s="1" t="s">
        <v>75</v>
      </c>
      <c r="B16" s="1" t="s">
        <v>24</v>
      </c>
      <c r="C16" s="1" t="s">
        <v>25</v>
      </c>
      <c r="D16" s="1" t="s">
        <v>26</v>
      </c>
      <c r="E16" s="1" t="s">
        <v>27</v>
      </c>
      <c r="F16" s="1" t="s">
        <v>28</v>
      </c>
      <c r="G16" s="1" t="s">
        <v>29</v>
      </c>
      <c r="H16" s="1">
        <f t="shared" si="0"/>
        <v>3</v>
      </c>
      <c r="I16" s="1" t="s">
        <v>31</v>
      </c>
      <c r="J16" s="1" cm="1">
        <f t="array" ref="J16">_xlfn.SWITCH(I16,"No",0,"Not Sure",1,"Yes",2)</f>
        <v>1</v>
      </c>
      <c r="K16" s="1">
        <v>4</v>
      </c>
      <c r="L16" s="1" t="s">
        <v>30</v>
      </c>
      <c r="M16" s="1" cm="1">
        <f t="array" ref="M16">_xlfn.SWITCH(L16,"No",0,"Not Sure",1,"Yes",2)</f>
        <v>2</v>
      </c>
      <c r="N16" s="1" t="s">
        <v>54</v>
      </c>
      <c r="O16" s="1" cm="1">
        <f t="array" ref="O16">_xlfn.SWITCH(N16,"Less than 4 hours",3,"4 - 6 hours",5,"6 - 8 hours",7,"More than 8 hours",9)</f>
        <v>5</v>
      </c>
      <c r="P16" s="1" t="s">
        <v>33</v>
      </c>
      <c r="Q16" s="1" cm="1">
        <f t="array" ref="Q16">_xlfn.IFS(
    P16="Less than 1 hour", 1,
    P16="1-2 hours", 2,
    P16="2-4 hours", 3,
    P16="More than 4 hours", 4
)</f>
        <v>4</v>
      </c>
      <c r="R16" s="1" t="s">
        <v>34</v>
      </c>
      <c r="S16" s="1" cm="1">
        <f t="array" ref="S16">_xlfn.IFS(
    R16="Never", 1,
    R16="Rarely", 2,
    R16="Once a week", 3,
    R16="A few times a week", 4,
    R16="Daily", 5
)</f>
        <v>2</v>
      </c>
      <c r="T16" s="1" t="s">
        <v>35</v>
      </c>
      <c r="U16" s="1" t="s">
        <v>56</v>
      </c>
      <c r="V16" s="1" t="s">
        <v>51</v>
      </c>
      <c r="W16" s="1" t="s">
        <v>38</v>
      </c>
      <c r="X16" s="1" t="s">
        <v>39</v>
      </c>
      <c r="Y16" s="1" t="s">
        <v>39</v>
      </c>
    </row>
    <row r="17" spans="1:25" x14ac:dyDescent="0.3">
      <c r="A17" s="1" t="s">
        <v>76</v>
      </c>
      <c r="B17" s="1" t="s">
        <v>24</v>
      </c>
      <c r="C17" s="1" t="s">
        <v>25</v>
      </c>
      <c r="D17" s="1" t="s">
        <v>26</v>
      </c>
      <c r="E17" s="1" t="s">
        <v>27</v>
      </c>
      <c r="F17" s="1" t="s">
        <v>49</v>
      </c>
      <c r="G17" s="1" t="s">
        <v>34</v>
      </c>
      <c r="H17" s="1">
        <f t="shared" si="0"/>
        <v>2</v>
      </c>
      <c r="I17" s="1" t="s">
        <v>42</v>
      </c>
      <c r="J17" s="1" cm="1">
        <f t="array" ref="J17">_xlfn.SWITCH(I17,"No",0,"Not Sure",1,"Yes",2)</f>
        <v>0</v>
      </c>
      <c r="K17" s="1">
        <v>1</v>
      </c>
      <c r="L17" s="1" t="s">
        <v>30</v>
      </c>
      <c r="M17" s="1" cm="1">
        <f t="array" ref="M17">_xlfn.SWITCH(L17,"No",0,"Not Sure",1,"Yes",2)</f>
        <v>2</v>
      </c>
      <c r="N17" s="1" t="s">
        <v>54</v>
      </c>
      <c r="O17" s="1" cm="1">
        <f t="array" ref="O17">_xlfn.SWITCH(N17,"Less than 4 hours",3,"4 - 6 hours",5,"6 - 8 hours",7,"More than 8 hours",9)</f>
        <v>5</v>
      </c>
      <c r="P17" s="1" t="s">
        <v>33</v>
      </c>
      <c r="Q17" s="1" cm="1">
        <f t="array" ref="Q17">_xlfn.IFS(
    P17="Less than 1 hour", 1,
    P17="1-2 hours", 2,
    P17="2-4 hours", 3,
    P17="More than 4 hours", 4
)</f>
        <v>4</v>
      </c>
      <c r="R17" s="1" t="s">
        <v>44</v>
      </c>
      <c r="S17" s="1" cm="1">
        <f t="array" ref="S17">_xlfn.IFS(
    R17="Never", 1,
    R17="Rarely", 2,
    R17="Once a week", 3,
    R17="A few times a week", 4,
    R17="Daily", 5
)</f>
        <v>5</v>
      </c>
      <c r="T17" s="1" t="s">
        <v>60</v>
      </c>
      <c r="U17" s="1" t="s">
        <v>56</v>
      </c>
      <c r="V17" s="1" t="s">
        <v>37</v>
      </c>
      <c r="W17" s="1" t="s">
        <v>38</v>
      </c>
      <c r="X17" s="1" t="s">
        <v>52</v>
      </c>
      <c r="Y17" s="1" t="s">
        <v>39</v>
      </c>
    </row>
    <row r="18" spans="1:25" x14ac:dyDescent="0.3">
      <c r="A18" s="1" t="s">
        <v>77</v>
      </c>
      <c r="B18" s="1" t="s">
        <v>24</v>
      </c>
      <c r="C18" s="1" t="s">
        <v>25</v>
      </c>
      <c r="D18" s="1" t="s">
        <v>26</v>
      </c>
      <c r="E18" s="1" t="s">
        <v>58</v>
      </c>
      <c r="F18" s="1" t="s">
        <v>49</v>
      </c>
      <c r="G18" s="1" t="s">
        <v>34</v>
      </c>
      <c r="H18" s="1">
        <f t="shared" si="0"/>
        <v>2</v>
      </c>
      <c r="I18" s="1" t="s">
        <v>30</v>
      </c>
      <c r="J18" s="1" cm="1">
        <f t="array" ref="J18">_xlfn.SWITCH(I18,"No",0,"Not Sure",1,"Yes",2)</f>
        <v>2</v>
      </c>
      <c r="K18" s="1">
        <v>1</v>
      </c>
      <c r="L18" s="1" t="s">
        <v>31</v>
      </c>
      <c r="M18" s="1" cm="1">
        <f t="array" ref="M18">_xlfn.SWITCH(L18,"No",0,"Not Sure",1,"Yes",2)</f>
        <v>1</v>
      </c>
      <c r="N18" s="1" t="s">
        <v>32</v>
      </c>
      <c r="O18" s="1" cm="1">
        <f t="array" ref="O18">_xlfn.SWITCH(N18,"Less than 4 hours",3,"4 - 6 hours",5,"6 - 8 hours",7,"More than 8 hours",9)</f>
        <v>7</v>
      </c>
      <c r="P18" s="1" t="s">
        <v>43</v>
      </c>
      <c r="Q18" s="1" cm="1">
        <f t="array" ref="Q18">_xlfn.IFS(
    P18="Less than 1 hour", 1,
    P18="1-2 hours", 2,
    P18="2-4 hours", 3,
    P18="More than 4 hours", 4
)</f>
        <v>3</v>
      </c>
      <c r="R18" s="1" t="s">
        <v>29</v>
      </c>
      <c r="S18" s="1" cm="1">
        <f t="array" ref="S18">_xlfn.IFS(
    R18="Never", 1,
    R18="Rarely", 2,
    R18="Once a week", 3,
    R18="A few times a week", 4,
    R18="Daily", 5
)</f>
        <v>3</v>
      </c>
      <c r="T18" s="1" t="s">
        <v>60</v>
      </c>
      <c r="U18" s="1" t="s">
        <v>63</v>
      </c>
      <c r="V18" s="1" t="s">
        <v>45</v>
      </c>
      <c r="W18" s="1" t="s">
        <v>38</v>
      </c>
      <c r="X18" s="1" t="s">
        <v>39</v>
      </c>
      <c r="Y18" s="1" t="s">
        <v>40</v>
      </c>
    </row>
    <row r="19" spans="1:25" x14ac:dyDescent="0.3">
      <c r="A19" s="1" t="s">
        <v>78</v>
      </c>
      <c r="B19" s="1" t="s">
        <v>24</v>
      </c>
      <c r="C19" s="1" t="s">
        <v>25</v>
      </c>
      <c r="D19" s="1" t="s">
        <v>26</v>
      </c>
      <c r="E19" s="1" t="s">
        <v>27</v>
      </c>
      <c r="F19" s="1" t="s">
        <v>49</v>
      </c>
      <c r="G19" s="1" t="s">
        <v>79</v>
      </c>
      <c r="H19" s="1">
        <f t="shared" si="0"/>
        <v>1</v>
      </c>
      <c r="I19" s="1" t="s">
        <v>42</v>
      </c>
      <c r="J19" s="1" cm="1">
        <f t="array" ref="J19">_xlfn.SWITCH(I19,"No",0,"Not Sure",1,"Yes",2)</f>
        <v>0</v>
      </c>
      <c r="K19" s="1">
        <v>5</v>
      </c>
      <c r="L19" s="1" t="s">
        <v>42</v>
      </c>
      <c r="M19" s="1" cm="1">
        <f t="array" ref="M19">_xlfn.SWITCH(L19,"No",0,"Not Sure",1,"Yes",2)</f>
        <v>0</v>
      </c>
      <c r="N19" s="1" t="s">
        <v>67</v>
      </c>
      <c r="O19" s="1" cm="1">
        <f t="array" ref="O19">_xlfn.SWITCH(N19,"Less than 4 hours",3,"4 - 6 hours",5,"6 - 8 hours",7,"More than 8 hours",9)</f>
        <v>9</v>
      </c>
      <c r="P19" s="1" t="s">
        <v>43</v>
      </c>
      <c r="Q19" s="1" cm="1">
        <f t="array" ref="Q19">_xlfn.IFS(
    P19="Less than 1 hour", 1,
    P19="1-2 hours", 2,
    P19="2-4 hours", 3,
    P19="More than 4 hours", 4
)</f>
        <v>3</v>
      </c>
      <c r="R19" s="1" t="s">
        <v>80</v>
      </c>
      <c r="S19" s="1" cm="1">
        <f t="array" ref="S19">_xlfn.IFS(
    R19="Never", 1,
    R19="Rarely", 2,
    R19="Once a week", 3,
    R19="A few times a week", 4,
    R19="Daily", 5
)</f>
        <v>4</v>
      </c>
      <c r="T19" s="1" t="s">
        <v>55</v>
      </c>
      <c r="U19" s="1" t="s">
        <v>56</v>
      </c>
      <c r="V19" s="1" t="s">
        <v>37</v>
      </c>
      <c r="W19" s="1" t="s">
        <v>38</v>
      </c>
      <c r="X19" s="1" t="s">
        <v>52</v>
      </c>
      <c r="Y19" s="1" t="s">
        <v>40</v>
      </c>
    </row>
    <row r="20" spans="1:25" x14ac:dyDescent="0.3">
      <c r="A20" s="1" t="s">
        <v>81</v>
      </c>
      <c r="B20" s="1" t="s">
        <v>24</v>
      </c>
      <c r="C20" s="1" t="s">
        <v>25</v>
      </c>
      <c r="D20" s="1" t="s">
        <v>26</v>
      </c>
      <c r="E20" s="1" t="s">
        <v>27</v>
      </c>
      <c r="F20" s="1" t="s">
        <v>49</v>
      </c>
      <c r="G20" s="1" t="s">
        <v>69</v>
      </c>
      <c r="H20" s="1">
        <f t="shared" si="0"/>
        <v>4</v>
      </c>
      <c r="I20" s="1" t="s">
        <v>42</v>
      </c>
      <c r="J20" s="1" cm="1">
        <f t="array" ref="J20">_xlfn.SWITCH(I20,"No",0,"Not Sure",1,"Yes",2)</f>
        <v>0</v>
      </c>
      <c r="K20" s="1">
        <v>3</v>
      </c>
      <c r="L20" s="1" t="s">
        <v>31</v>
      </c>
      <c r="M20" s="1" cm="1">
        <f t="array" ref="M20">_xlfn.SWITCH(L20,"No",0,"Not Sure",1,"Yes",2)</f>
        <v>1</v>
      </c>
      <c r="N20" s="1" t="s">
        <v>54</v>
      </c>
      <c r="O20" s="1" cm="1">
        <f t="array" ref="O20">_xlfn.SWITCH(N20,"Less than 4 hours",3,"4 - 6 hours",5,"6 - 8 hours",7,"More than 8 hours",9)</f>
        <v>5</v>
      </c>
      <c r="P20" s="1" t="s">
        <v>59</v>
      </c>
      <c r="Q20" s="1" cm="1">
        <f t="array" ref="Q20">_xlfn.IFS(
    P20="Less than 1 hour", 1,
    P20="1-2 hours", 2,
    P20="2-4 hours", 3,
    P20="More than 4 hours", 4
)</f>
        <v>2</v>
      </c>
      <c r="R20" s="1" t="s">
        <v>80</v>
      </c>
      <c r="S20" s="1" cm="1">
        <f t="array" ref="S20">_xlfn.IFS(
    R20="Never", 1,
    R20="Rarely", 2,
    R20="Once a week", 3,
    R20="A few times a week", 4,
    R20="Daily", 5
)</f>
        <v>4</v>
      </c>
      <c r="T20" s="1" t="s">
        <v>60</v>
      </c>
      <c r="U20" s="1" t="s">
        <v>36</v>
      </c>
      <c r="V20" s="1" t="s">
        <v>51</v>
      </c>
      <c r="W20" s="1" t="s">
        <v>38</v>
      </c>
      <c r="X20" s="1" t="s">
        <v>52</v>
      </c>
      <c r="Y20" s="1" t="s">
        <v>52</v>
      </c>
    </row>
    <row r="21" spans="1:25" x14ac:dyDescent="0.3">
      <c r="A21" s="1" t="s">
        <v>82</v>
      </c>
      <c r="B21" s="1" t="s">
        <v>83</v>
      </c>
      <c r="C21" s="1" t="s">
        <v>84</v>
      </c>
      <c r="D21" s="1" t="s">
        <v>48</v>
      </c>
      <c r="E21" s="1" t="s">
        <v>27</v>
      </c>
      <c r="F21" s="1" t="s">
        <v>28</v>
      </c>
      <c r="G21" s="1" t="s">
        <v>29</v>
      </c>
      <c r="H21" s="1">
        <f t="shared" si="0"/>
        <v>3</v>
      </c>
      <c r="I21" s="1" t="s">
        <v>42</v>
      </c>
      <c r="J21" s="1" cm="1">
        <f t="array" ref="J21">_xlfn.SWITCH(I21,"No",0,"Not Sure",1,"Yes",2)</f>
        <v>0</v>
      </c>
      <c r="K21" s="1">
        <v>3</v>
      </c>
      <c r="L21" s="1" t="s">
        <v>31</v>
      </c>
      <c r="M21" s="1" cm="1">
        <f t="array" ref="M21">_xlfn.SWITCH(L21,"No",0,"Not Sure",1,"Yes",2)</f>
        <v>1</v>
      </c>
      <c r="N21" s="1" t="s">
        <v>32</v>
      </c>
      <c r="O21" s="1" cm="1">
        <f t="array" ref="O21">_xlfn.SWITCH(N21,"Less than 4 hours",3,"4 - 6 hours",5,"6 - 8 hours",7,"More than 8 hours",9)</f>
        <v>7</v>
      </c>
      <c r="P21" s="1" t="s">
        <v>43</v>
      </c>
      <c r="Q21" s="1" cm="1">
        <f t="array" ref="Q21">_xlfn.IFS(
    P21="Less than 1 hour", 1,
    P21="1-2 hours", 2,
    P21="2-4 hours", 3,
    P21="More than 4 hours", 4
)</f>
        <v>3</v>
      </c>
      <c r="R21" s="1" t="s">
        <v>79</v>
      </c>
      <c r="S21" s="1" cm="1">
        <f t="array" ref="S21">_xlfn.IFS(
    R21="Never", 1,
    R21="Rarely", 2,
    R21="Once a week", 3,
    R21="A few times a week", 4,
    R21="Daily", 5
)</f>
        <v>1</v>
      </c>
      <c r="T21" s="1" t="s">
        <v>35</v>
      </c>
      <c r="U21" s="1" t="s">
        <v>36</v>
      </c>
      <c r="V21" s="1" t="s">
        <v>45</v>
      </c>
      <c r="W21" s="1" t="s">
        <v>38</v>
      </c>
      <c r="X21" s="1" t="s">
        <v>39</v>
      </c>
      <c r="Y21" s="1" t="s">
        <v>52</v>
      </c>
    </row>
    <row r="22" spans="1:25" x14ac:dyDescent="0.3">
      <c r="A22" s="1" t="s">
        <v>85</v>
      </c>
      <c r="B22" s="1" t="s">
        <v>83</v>
      </c>
      <c r="C22" s="1" t="s">
        <v>84</v>
      </c>
      <c r="D22" s="1" t="s">
        <v>48</v>
      </c>
      <c r="E22" s="1" t="s">
        <v>27</v>
      </c>
      <c r="F22" s="1" t="s">
        <v>28</v>
      </c>
      <c r="G22" s="1" t="s">
        <v>29</v>
      </c>
      <c r="H22" s="1">
        <f t="shared" si="0"/>
        <v>3</v>
      </c>
      <c r="I22" s="1" t="s">
        <v>30</v>
      </c>
      <c r="J22" s="1" cm="1">
        <f t="array" ref="J22">_xlfn.SWITCH(I22,"No",0,"Not Sure",1,"Yes",2)</f>
        <v>2</v>
      </c>
      <c r="K22" s="1">
        <v>4</v>
      </c>
      <c r="L22" s="1" t="s">
        <v>31</v>
      </c>
      <c r="M22" s="1" cm="1">
        <f t="array" ref="M22">_xlfn.SWITCH(L22,"No",0,"Not Sure",1,"Yes",2)</f>
        <v>1</v>
      </c>
      <c r="N22" s="1" t="s">
        <v>32</v>
      </c>
      <c r="O22" s="1" cm="1">
        <f t="array" ref="O22">_xlfn.SWITCH(N22,"Less than 4 hours",3,"4 - 6 hours",5,"6 - 8 hours",7,"More than 8 hours",9)</f>
        <v>7</v>
      </c>
      <c r="P22" s="1" t="s">
        <v>43</v>
      </c>
      <c r="Q22" s="1" cm="1">
        <f t="array" ref="Q22">_xlfn.IFS(
    P22="Less than 1 hour", 1,
    P22="1-2 hours", 2,
    P22="2-4 hours", 3,
    P22="More than 4 hours", 4
)</f>
        <v>3</v>
      </c>
      <c r="R22" s="1" t="s">
        <v>79</v>
      </c>
      <c r="S22" s="1" cm="1">
        <f t="array" ref="S22">_xlfn.IFS(
    R22="Never", 1,
    R22="Rarely", 2,
    R22="Once a week", 3,
    R22="A few times a week", 4,
    R22="Daily", 5
)</f>
        <v>1</v>
      </c>
      <c r="T22" s="1" t="s">
        <v>35</v>
      </c>
      <c r="U22" s="1" t="s">
        <v>36</v>
      </c>
      <c r="V22" s="1" t="s">
        <v>45</v>
      </c>
      <c r="W22" s="1" t="s">
        <v>38</v>
      </c>
      <c r="X22" s="1" t="s">
        <v>39</v>
      </c>
      <c r="Y22" s="1" t="s">
        <v>52</v>
      </c>
    </row>
    <row r="23" spans="1:25" x14ac:dyDescent="0.3">
      <c r="A23" s="1" t="s">
        <v>86</v>
      </c>
      <c r="B23" s="1" t="s">
        <v>24</v>
      </c>
      <c r="C23" s="1" t="s">
        <v>84</v>
      </c>
      <c r="D23" s="1" t="s">
        <v>48</v>
      </c>
      <c r="E23" s="1" t="s">
        <v>27</v>
      </c>
      <c r="F23" s="1" t="s">
        <v>28</v>
      </c>
      <c r="G23" s="1" t="s">
        <v>44</v>
      </c>
      <c r="H23" s="1">
        <f t="shared" si="0"/>
        <v>5</v>
      </c>
      <c r="I23" s="1" t="s">
        <v>42</v>
      </c>
      <c r="J23" s="1" cm="1">
        <f t="array" ref="J23">_xlfn.SWITCH(I23,"No",0,"Not Sure",1,"Yes",2)</f>
        <v>0</v>
      </c>
      <c r="K23" s="1">
        <v>3</v>
      </c>
      <c r="L23" s="1" t="s">
        <v>30</v>
      </c>
      <c r="M23" s="1" cm="1">
        <f t="array" ref="M23">_xlfn.SWITCH(L23,"No",0,"Not Sure",1,"Yes",2)</f>
        <v>2</v>
      </c>
      <c r="N23" s="1" t="s">
        <v>32</v>
      </c>
      <c r="O23" s="1" cm="1">
        <f t="array" ref="O23">_xlfn.SWITCH(N23,"Less than 4 hours",3,"4 - 6 hours",5,"6 - 8 hours",7,"More than 8 hours",9)</f>
        <v>7</v>
      </c>
      <c r="P23" s="1" t="s">
        <v>43</v>
      </c>
      <c r="Q23" s="1" cm="1">
        <f t="array" ref="Q23">_xlfn.IFS(
    P23="Less than 1 hour", 1,
    P23="1-2 hours", 2,
    P23="2-4 hours", 3,
    P23="More than 4 hours", 4
)</f>
        <v>3</v>
      </c>
      <c r="R23" s="1" t="s">
        <v>34</v>
      </c>
      <c r="S23" s="1" cm="1">
        <f t="array" ref="S23">_xlfn.IFS(
    R23="Never", 1,
    R23="Rarely", 2,
    R23="Once a week", 3,
    R23="A few times a week", 4,
    R23="Daily", 5
)</f>
        <v>2</v>
      </c>
      <c r="T23" s="1" t="s">
        <v>35</v>
      </c>
      <c r="U23" s="1" t="s">
        <v>36</v>
      </c>
      <c r="V23" s="1" t="s">
        <v>45</v>
      </c>
      <c r="W23" s="1" t="s">
        <v>38</v>
      </c>
      <c r="X23" s="1" t="s">
        <v>87</v>
      </c>
      <c r="Y23" s="1" t="s">
        <v>46</v>
      </c>
    </row>
    <row r="24" spans="1:25" x14ac:dyDescent="0.3">
      <c r="A24" s="1" t="s">
        <v>88</v>
      </c>
      <c r="B24" s="1" t="s">
        <v>24</v>
      </c>
      <c r="C24" s="1" t="s">
        <v>25</v>
      </c>
      <c r="D24" s="1" t="s">
        <v>89</v>
      </c>
      <c r="E24" s="1" t="s">
        <v>58</v>
      </c>
      <c r="F24" s="1" t="s">
        <v>49</v>
      </c>
      <c r="G24" s="1" t="s">
        <v>44</v>
      </c>
      <c r="H24" s="1">
        <f t="shared" si="0"/>
        <v>5</v>
      </c>
      <c r="I24" s="1" t="s">
        <v>30</v>
      </c>
      <c r="J24" s="1" cm="1">
        <f t="array" ref="J24">_xlfn.SWITCH(I24,"No",0,"Not Sure",1,"Yes",2)</f>
        <v>2</v>
      </c>
      <c r="K24" s="1">
        <v>3</v>
      </c>
      <c r="L24" s="1" t="s">
        <v>30</v>
      </c>
      <c r="M24" s="1" cm="1">
        <f t="array" ref="M24">_xlfn.SWITCH(L24,"No",0,"Not Sure",1,"Yes",2)</f>
        <v>2</v>
      </c>
      <c r="N24" s="1" t="s">
        <v>54</v>
      </c>
      <c r="O24" s="1" cm="1">
        <f t="array" ref="O24">_xlfn.SWITCH(N24,"Less than 4 hours",3,"4 - 6 hours",5,"6 - 8 hours",7,"More than 8 hours",9)</f>
        <v>5</v>
      </c>
      <c r="P24" s="1" t="s">
        <v>43</v>
      </c>
      <c r="Q24" s="1" cm="1">
        <f t="array" ref="Q24">_xlfn.IFS(
    P24="Less than 1 hour", 1,
    P24="1-2 hours", 2,
    P24="2-4 hours", 3,
    P24="More than 4 hours", 4
)</f>
        <v>3</v>
      </c>
      <c r="R24" s="1" t="s">
        <v>44</v>
      </c>
      <c r="S24" s="1" cm="1">
        <f t="array" ref="S24">_xlfn.IFS(
    R24="Never", 1,
    R24="Rarely", 2,
    R24="Once a week", 3,
    R24="A few times a week", 4,
    R24="Daily", 5
)</f>
        <v>5</v>
      </c>
      <c r="T24" s="1" t="s">
        <v>35</v>
      </c>
      <c r="U24" s="1" t="s">
        <v>36</v>
      </c>
      <c r="V24" s="1" t="s">
        <v>51</v>
      </c>
      <c r="W24" s="1" t="s">
        <v>38</v>
      </c>
      <c r="X24" s="1" t="s">
        <v>87</v>
      </c>
      <c r="Y24" s="1" t="s">
        <v>52</v>
      </c>
    </row>
    <row r="25" spans="1:25" x14ac:dyDescent="0.3">
      <c r="A25" s="1" t="s">
        <v>90</v>
      </c>
      <c r="B25" s="1" t="s">
        <v>24</v>
      </c>
      <c r="C25" s="1" t="s">
        <v>25</v>
      </c>
      <c r="D25" s="1" t="s">
        <v>26</v>
      </c>
      <c r="E25" s="1" t="s">
        <v>27</v>
      </c>
      <c r="F25" s="1" t="s">
        <v>49</v>
      </c>
      <c r="G25" s="1" t="s">
        <v>44</v>
      </c>
      <c r="H25" s="1">
        <f t="shared" si="0"/>
        <v>5</v>
      </c>
      <c r="I25" s="1" t="s">
        <v>30</v>
      </c>
      <c r="J25" s="1" cm="1">
        <f t="array" ref="J25">_xlfn.SWITCH(I25,"No",0,"Not Sure",1,"Yes",2)</f>
        <v>2</v>
      </c>
      <c r="K25" s="1">
        <v>2</v>
      </c>
      <c r="L25" s="1" t="s">
        <v>30</v>
      </c>
      <c r="M25" s="1" cm="1">
        <f t="array" ref="M25">_xlfn.SWITCH(L25,"No",0,"Not Sure",1,"Yes",2)</f>
        <v>2</v>
      </c>
      <c r="N25" s="1" t="s">
        <v>54</v>
      </c>
      <c r="O25" s="1" cm="1">
        <f t="array" ref="O25">_xlfn.SWITCH(N25,"Less than 4 hours",3,"4 - 6 hours",5,"6 - 8 hours",7,"More than 8 hours",9)</f>
        <v>5</v>
      </c>
      <c r="P25" s="1" t="s">
        <v>59</v>
      </c>
      <c r="Q25" s="1" cm="1">
        <f t="array" ref="Q25">_xlfn.IFS(
    P25="Less than 1 hour", 1,
    P25="1-2 hours", 2,
    P25="2-4 hours", 3,
    P25="More than 4 hours", 4
)</f>
        <v>2</v>
      </c>
      <c r="R25" s="1" t="s">
        <v>34</v>
      </c>
      <c r="S25" s="1" cm="1">
        <f t="array" ref="S25">_xlfn.IFS(
    R25="Never", 1,
    R25="Rarely", 2,
    R25="Once a week", 3,
    R25="A few times a week", 4,
    R25="Daily", 5
)</f>
        <v>2</v>
      </c>
      <c r="T25" s="1" t="s">
        <v>35</v>
      </c>
      <c r="U25" s="1" t="s">
        <v>91</v>
      </c>
      <c r="V25" s="1" t="s">
        <v>72</v>
      </c>
      <c r="W25" s="1" t="s">
        <v>38</v>
      </c>
      <c r="X25" s="1" t="s">
        <v>46</v>
      </c>
      <c r="Y25" s="1" t="s">
        <v>87</v>
      </c>
    </row>
    <row r="26" spans="1:25" x14ac:dyDescent="0.3">
      <c r="A26" s="1" t="s">
        <v>92</v>
      </c>
      <c r="B26" s="1" t="s">
        <v>24</v>
      </c>
      <c r="C26" s="1" t="s">
        <v>25</v>
      </c>
      <c r="D26" s="1" t="s">
        <v>89</v>
      </c>
      <c r="E26" s="1" t="s">
        <v>58</v>
      </c>
      <c r="F26" s="1" t="s">
        <v>28</v>
      </c>
      <c r="G26" s="1" t="s">
        <v>69</v>
      </c>
      <c r="H26" s="1">
        <f t="shared" si="0"/>
        <v>4</v>
      </c>
      <c r="I26" s="1" t="s">
        <v>31</v>
      </c>
      <c r="J26" s="1" cm="1">
        <f t="array" ref="J26">_xlfn.SWITCH(I26,"No",0,"Not Sure",1,"Yes",2)</f>
        <v>1</v>
      </c>
      <c r="K26" s="1">
        <v>3</v>
      </c>
      <c r="L26" s="1" t="s">
        <v>42</v>
      </c>
      <c r="M26" s="1" cm="1">
        <f t="array" ref="M26">_xlfn.SWITCH(L26,"No",0,"Not Sure",1,"Yes",2)</f>
        <v>0</v>
      </c>
      <c r="N26" s="1" t="s">
        <v>32</v>
      </c>
      <c r="O26" s="1" cm="1">
        <f t="array" ref="O26">_xlfn.SWITCH(N26,"Less than 4 hours",3,"4 - 6 hours",5,"6 - 8 hours",7,"More than 8 hours",9)</f>
        <v>7</v>
      </c>
      <c r="P26" s="1" t="s">
        <v>43</v>
      </c>
      <c r="Q26" s="1" cm="1">
        <f t="array" ref="Q26">_xlfn.IFS(
    P26="Less than 1 hour", 1,
    P26="1-2 hours", 2,
    P26="2-4 hours", 3,
    P26="More than 4 hours", 4
)</f>
        <v>3</v>
      </c>
      <c r="R26" s="1" t="s">
        <v>80</v>
      </c>
      <c r="S26" s="1" cm="1">
        <f t="array" ref="S26">_xlfn.IFS(
    R26="Never", 1,
    R26="Rarely", 2,
    R26="Once a week", 3,
    R26="A few times a week", 4,
    R26="Daily", 5
)</f>
        <v>4</v>
      </c>
      <c r="T26" s="1" t="s">
        <v>35</v>
      </c>
      <c r="U26" s="1" t="s">
        <v>63</v>
      </c>
      <c r="V26" s="1" t="s">
        <v>51</v>
      </c>
      <c r="W26" s="1" t="s">
        <v>38</v>
      </c>
      <c r="X26" s="1" t="s">
        <v>87</v>
      </c>
      <c r="Y26" s="1" t="s">
        <v>39</v>
      </c>
    </row>
    <row r="27" spans="1:25" x14ac:dyDescent="0.3">
      <c r="A27" s="1" t="s">
        <v>93</v>
      </c>
      <c r="B27" s="1" t="s">
        <v>24</v>
      </c>
      <c r="C27" s="1" t="s">
        <v>25</v>
      </c>
      <c r="D27" s="1" t="s">
        <v>89</v>
      </c>
      <c r="E27" s="1" t="s">
        <v>58</v>
      </c>
      <c r="F27" s="1" t="s">
        <v>49</v>
      </c>
      <c r="G27" s="1" t="s">
        <v>69</v>
      </c>
      <c r="H27" s="1">
        <f t="shared" si="0"/>
        <v>4</v>
      </c>
      <c r="I27" s="1" t="s">
        <v>42</v>
      </c>
      <c r="J27" s="1" cm="1">
        <f t="array" ref="J27">_xlfn.SWITCH(I27,"No",0,"Not Sure",1,"Yes",2)</f>
        <v>0</v>
      </c>
      <c r="K27" s="1">
        <v>4</v>
      </c>
      <c r="L27" s="1" t="s">
        <v>31</v>
      </c>
      <c r="M27" s="1" cm="1">
        <f t="array" ref="M27">_xlfn.SWITCH(L27,"No",0,"Not Sure",1,"Yes",2)</f>
        <v>1</v>
      </c>
      <c r="N27" s="1" t="s">
        <v>54</v>
      </c>
      <c r="O27" s="1" cm="1">
        <f t="array" ref="O27">_xlfn.SWITCH(N27,"Less than 4 hours",3,"4 - 6 hours",5,"6 - 8 hours",7,"More than 8 hours",9)</f>
        <v>5</v>
      </c>
      <c r="P27" s="1" t="s">
        <v>59</v>
      </c>
      <c r="Q27" s="1" cm="1">
        <f t="array" ref="Q27">_xlfn.IFS(
    P27="Less than 1 hour", 1,
    P27="1-2 hours", 2,
    P27="2-4 hours", 3,
    P27="More than 4 hours", 4
)</f>
        <v>2</v>
      </c>
      <c r="R27" s="1" t="s">
        <v>80</v>
      </c>
      <c r="S27" s="1" cm="1">
        <f t="array" ref="S27">_xlfn.IFS(
    R27="Never", 1,
    R27="Rarely", 2,
    R27="Once a week", 3,
    R27="A few times a week", 4,
    R27="Daily", 5
)</f>
        <v>4</v>
      </c>
      <c r="T27" s="1" t="s">
        <v>35</v>
      </c>
      <c r="U27" s="1" t="s">
        <v>36</v>
      </c>
      <c r="V27" s="1" t="s">
        <v>94</v>
      </c>
      <c r="W27" s="1" t="s">
        <v>38</v>
      </c>
      <c r="X27" s="1" t="s">
        <v>39</v>
      </c>
      <c r="Y27" s="1" t="s">
        <v>39</v>
      </c>
    </row>
    <row r="28" spans="1:25" x14ac:dyDescent="0.3">
      <c r="A28" s="1" t="s">
        <v>95</v>
      </c>
      <c r="B28" s="1" t="s">
        <v>24</v>
      </c>
      <c r="C28" s="1" t="s">
        <v>25</v>
      </c>
      <c r="D28" s="1" t="s">
        <v>26</v>
      </c>
      <c r="E28" s="1" t="s">
        <v>27</v>
      </c>
      <c r="F28" s="1" t="s">
        <v>49</v>
      </c>
      <c r="G28" s="1" t="s">
        <v>44</v>
      </c>
      <c r="H28" s="1">
        <f t="shared" si="0"/>
        <v>5</v>
      </c>
      <c r="I28" s="1" t="s">
        <v>30</v>
      </c>
      <c r="J28" s="1" cm="1">
        <f t="array" ref="J28">_xlfn.SWITCH(I28,"No",0,"Not Sure",1,"Yes",2)</f>
        <v>2</v>
      </c>
      <c r="K28" s="1">
        <v>1</v>
      </c>
      <c r="L28" s="1" t="s">
        <v>31</v>
      </c>
      <c r="M28" s="1" cm="1">
        <f t="array" ref="M28">_xlfn.SWITCH(L28,"No",0,"Not Sure",1,"Yes",2)</f>
        <v>1</v>
      </c>
      <c r="N28" s="1" t="s">
        <v>54</v>
      </c>
      <c r="O28" s="1" cm="1">
        <f t="array" ref="O28">_xlfn.SWITCH(N28,"Less than 4 hours",3,"4 - 6 hours",5,"6 - 8 hours",7,"More than 8 hours",9)</f>
        <v>5</v>
      </c>
      <c r="P28" s="1" t="s">
        <v>59</v>
      </c>
      <c r="Q28" s="1" cm="1">
        <f t="array" ref="Q28">_xlfn.IFS(
    P28="Less than 1 hour", 1,
    P28="1-2 hours", 2,
    P28="2-4 hours", 3,
    P28="More than 4 hours", 4
)</f>
        <v>2</v>
      </c>
      <c r="R28" s="1" t="s">
        <v>34</v>
      </c>
      <c r="S28" s="1" cm="1">
        <f t="array" ref="S28">_xlfn.IFS(
    R28="Never", 1,
    R28="Rarely", 2,
    R28="Once a week", 3,
    R28="A few times a week", 4,
    R28="Daily", 5
)</f>
        <v>2</v>
      </c>
      <c r="T28" s="1" t="s">
        <v>55</v>
      </c>
      <c r="U28" s="1" t="s">
        <v>36</v>
      </c>
      <c r="V28" s="1" t="s">
        <v>37</v>
      </c>
      <c r="W28" s="1" t="s">
        <v>38</v>
      </c>
      <c r="X28" s="1" t="s">
        <v>39</v>
      </c>
      <c r="Y28" s="1" t="s">
        <v>39</v>
      </c>
    </row>
    <row r="29" spans="1:25" x14ac:dyDescent="0.3">
      <c r="A29" s="1" t="s">
        <v>96</v>
      </c>
      <c r="B29" s="1" t="s">
        <v>24</v>
      </c>
      <c r="C29" s="1" t="s">
        <v>25</v>
      </c>
      <c r="D29" s="1" t="s">
        <v>89</v>
      </c>
      <c r="E29" s="1" t="s">
        <v>27</v>
      </c>
      <c r="F29" s="1" t="s">
        <v>49</v>
      </c>
      <c r="G29" s="1" t="s">
        <v>79</v>
      </c>
      <c r="H29" s="1">
        <f t="shared" si="0"/>
        <v>1</v>
      </c>
      <c r="I29" s="1" t="s">
        <v>42</v>
      </c>
      <c r="J29" s="1" cm="1">
        <f t="array" ref="J29">_xlfn.SWITCH(I29,"No",0,"Not Sure",1,"Yes",2)</f>
        <v>0</v>
      </c>
      <c r="K29" s="1">
        <v>5</v>
      </c>
      <c r="L29" s="1" t="s">
        <v>31</v>
      </c>
      <c r="M29" s="1" cm="1">
        <f t="array" ref="M29">_xlfn.SWITCH(L29,"No",0,"Not Sure",1,"Yes",2)</f>
        <v>1</v>
      </c>
      <c r="N29" s="1" t="s">
        <v>32</v>
      </c>
      <c r="O29" s="1" cm="1">
        <f t="array" ref="O29">_xlfn.SWITCH(N29,"Less than 4 hours",3,"4 - 6 hours",5,"6 - 8 hours",7,"More than 8 hours",9)</f>
        <v>7</v>
      </c>
      <c r="P29" s="1" t="s">
        <v>43</v>
      </c>
      <c r="Q29" s="1" cm="1">
        <f t="array" ref="Q29">_xlfn.IFS(
    P29="Less than 1 hour", 1,
    P29="1-2 hours", 2,
    P29="2-4 hours", 3,
    P29="More than 4 hours", 4
)</f>
        <v>3</v>
      </c>
      <c r="R29" s="1" t="s">
        <v>80</v>
      </c>
      <c r="S29" s="1" cm="1">
        <f t="array" ref="S29">_xlfn.IFS(
    R29="Never", 1,
    R29="Rarely", 2,
    R29="Once a week", 3,
    R29="A few times a week", 4,
    R29="Daily", 5
)</f>
        <v>4</v>
      </c>
      <c r="T29" s="1" t="s">
        <v>55</v>
      </c>
      <c r="U29" s="1" t="s">
        <v>36</v>
      </c>
      <c r="V29" s="1" t="s">
        <v>51</v>
      </c>
      <c r="W29" s="1" t="s">
        <v>38</v>
      </c>
      <c r="X29" s="1" t="s">
        <v>46</v>
      </c>
      <c r="Y29" s="1" t="s">
        <v>39</v>
      </c>
    </row>
    <row r="30" spans="1:25" x14ac:dyDescent="0.3">
      <c r="A30" s="1" t="s">
        <v>97</v>
      </c>
      <c r="B30" s="1" t="s">
        <v>24</v>
      </c>
      <c r="C30" s="1" t="s">
        <v>25</v>
      </c>
      <c r="D30" s="1" t="s">
        <v>48</v>
      </c>
      <c r="E30" s="1" t="s">
        <v>58</v>
      </c>
      <c r="F30" s="1" t="s">
        <v>49</v>
      </c>
      <c r="G30" s="1" t="s">
        <v>79</v>
      </c>
      <c r="H30" s="1">
        <f t="shared" si="0"/>
        <v>1</v>
      </c>
      <c r="I30" s="1" t="s">
        <v>42</v>
      </c>
      <c r="J30" s="1" cm="1">
        <f t="array" ref="J30">_xlfn.SWITCH(I30,"No",0,"Not Sure",1,"Yes",2)</f>
        <v>0</v>
      </c>
      <c r="K30" s="1">
        <v>5</v>
      </c>
      <c r="L30" s="1" t="s">
        <v>42</v>
      </c>
      <c r="M30" s="1" cm="1">
        <f t="array" ref="M30">_xlfn.SWITCH(L30,"No",0,"Not Sure",1,"Yes",2)</f>
        <v>0</v>
      </c>
      <c r="N30" s="1" t="s">
        <v>32</v>
      </c>
      <c r="O30" s="1" cm="1">
        <f t="array" ref="O30">_xlfn.SWITCH(N30,"Less than 4 hours",3,"4 - 6 hours",5,"6 - 8 hours",7,"More than 8 hours",9)</f>
        <v>7</v>
      </c>
      <c r="P30" s="1" t="s">
        <v>59</v>
      </c>
      <c r="Q30" s="1" cm="1">
        <f t="array" ref="Q30">_xlfn.IFS(
    P30="Less than 1 hour", 1,
    P30="1-2 hours", 2,
    P30="2-4 hours", 3,
    P30="More than 4 hours", 4
)</f>
        <v>2</v>
      </c>
      <c r="R30" s="1" t="s">
        <v>44</v>
      </c>
      <c r="S30" s="1" cm="1">
        <f t="array" ref="S30">_xlfn.IFS(
    R30="Never", 1,
    R30="Rarely", 2,
    R30="Once a week", 3,
    R30="A few times a week", 4,
    R30="Daily", 5
)</f>
        <v>5</v>
      </c>
      <c r="T30" s="1" t="s">
        <v>55</v>
      </c>
      <c r="U30" s="1" t="s">
        <v>63</v>
      </c>
      <c r="V30" s="1" t="s">
        <v>37</v>
      </c>
      <c r="W30" s="1" t="s">
        <v>38</v>
      </c>
      <c r="X30" s="1" t="s">
        <v>39</v>
      </c>
      <c r="Y30" s="1" t="s">
        <v>39</v>
      </c>
    </row>
    <row r="31" spans="1:25" x14ac:dyDescent="0.3">
      <c r="A31" s="1" t="s">
        <v>98</v>
      </c>
      <c r="B31" s="1" t="s">
        <v>24</v>
      </c>
      <c r="C31" s="1" t="s">
        <v>25</v>
      </c>
      <c r="D31" s="1" t="s">
        <v>26</v>
      </c>
      <c r="E31" s="1" t="s">
        <v>58</v>
      </c>
      <c r="F31" s="1" t="s">
        <v>49</v>
      </c>
      <c r="G31" s="1" t="s">
        <v>34</v>
      </c>
      <c r="H31" s="1">
        <f t="shared" si="0"/>
        <v>2</v>
      </c>
      <c r="I31" s="1" t="s">
        <v>30</v>
      </c>
      <c r="J31" s="1" cm="1">
        <f t="array" ref="J31">_xlfn.SWITCH(I31,"No",0,"Not Sure",1,"Yes",2)</f>
        <v>2</v>
      </c>
      <c r="K31" s="1">
        <v>1</v>
      </c>
      <c r="L31" s="1" t="s">
        <v>30</v>
      </c>
      <c r="M31" s="1" cm="1">
        <f t="array" ref="M31">_xlfn.SWITCH(L31,"No",0,"Not Sure",1,"Yes",2)</f>
        <v>2</v>
      </c>
      <c r="N31" s="1" t="s">
        <v>54</v>
      </c>
      <c r="O31" s="1" cm="1">
        <f t="array" ref="O31">_xlfn.SWITCH(N31,"Less than 4 hours",3,"4 - 6 hours",5,"6 - 8 hours",7,"More than 8 hours",9)</f>
        <v>5</v>
      </c>
      <c r="P31" s="1" t="s">
        <v>50</v>
      </c>
      <c r="Q31" s="1" cm="1">
        <f t="array" ref="Q31">_xlfn.IFS(
    P31="Less than 1 hour", 1,
    P31="1-2 hours", 2,
    P31="2-4 hours", 3,
    P31="More than 4 hours", 4
)</f>
        <v>1</v>
      </c>
      <c r="R31" s="1" t="s">
        <v>44</v>
      </c>
      <c r="S31" s="1" cm="1">
        <f t="array" ref="S31">_xlfn.IFS(
    R31="Never", 1,
    R31="Rarely", 2,
    R31="Once a week", 3,
    R31="A few times a week", 4,
    R31="Daily", 5
)</f>
        <v>5</v>
      </c>
      <c r="T31" s="1" t="s">
        <v>35</v>
      </c>
      <c r="U31" s="1" t="s">
        <v>99</v>
      </c>
      <c r="V31" s="1" t="s">
        <v>65</v>
      </c>
      <c r="W31" s="1" t="s">
        <v>38</v>
      </c>
      <c r="X31" s="1" t="s">
        <v>87</v>
      </c>
      <c r="Y31" s="1" t="s">
        <v>87</v>
      </c>
    </row>
    <row r="32" spans="1:25" x14ac:dyDescent="0.3">
      <c r="A32" s="1" t="s">
        <v>100</v>
      </c>
      <c r="B32" s="1" t="s">
        <v>24</v>
      </c>
      <c r="C32" s="1" t="s">
        <v>25</v>
      </c>
      <c r="D32" s="1" t="s">
        <v>26</v>
      </c>
      <c r="E32" s="1" t="s">
        <v>101</v>
      </c>
      <c r="F32" s="1" t="s">
        <v>49</v>
      </c>
      <c r="G32" s="1" t="s">
        <v>29</v>
      </c>
      <c r="H32" s="1">
        <f t="shared" si="0"/>
        <v>3</v>
      </c>
      <c r="I32" s="1" t="s">
        <v>31</v>
      </c>
      <c r="J32" s="1" cm="1">
        <f t="array" ref="J32">_xlfn.SWITCH(I32,"No",0,"Not Sure",1,"Yes",2)</f>
        <v>1</v>
      </c>
      <c r="K32" s="1">
        <v>4</v>
      </c>
      <c r="L32" s="1" t="s">
        <v>42</v>
      </c>
      <c r="M32" s="1" cm="1">
        <f t="array" ref="M32">_xlfn.SWITCH(L32,"No",0,"Not Sure",1,"Yes",2)</f>
        <v>0</v>
      </c>
      <c r="N32" s="1" t="s">
        <v>54</v>
      </c>
      <c r="O32" s="1" cm="1">
        <f t="array" ref="O32">_xlfn.SWITCH(N32,"Less than 4 hours",3,"4 - 6 hours",5,"6 - 8 hours",7,"More than 8 hours",9)</f>
        <v>5</v>
      </c>
      <c r="P32" s="1" t="s">
        <v>33</v>
      </c>
      <c r="Q32" s="1" cm="1">
        <f t="array" ref="Q32">_xlfn.IFS(
    P32="Less than 1 hour", 1,
    P32="1-2 hours", 2,
    P32="2-4 hours", 3,
    P32="More than 4 hours", 4
)</f>
        <v>4</v>
      </c>
      <c r="R32" s="1" t="s">
        <v>34</v>
      </c>
      <c r="S32" s="1" cm="1">
        <f t="array" ref="S32">_xlfn.IFS(
    R32="Never", 1,
    R32="Rarely", 2,
    R32="Once a week", 3,
    R32="A few times a week", 4,
    R32="Daily", 5
)</f>
        <v>2</v>
      </c>
      <c r="T32" s="1" t="s">
        <v>60</v>
      </c>
      <c r="U32" s="1" t="s">
        <v>56</v>
      </c>
      <c r="V32" s="1" t="s">
        <v>72</v>
      </c>
      <c r="W32" s="1" t="s">
        <v>38</v>
      </c>
      <c r="X32" s="1" t="s">
        <v>39</v>
      </c>
      <c r="Y32" s="1" t="s">
        <v>40</v>
      </c>
    </row>
    <row r="33" spans="1:25" x14ac:dyDescent="0.3">
      <c r="A33" s="1" t="s">
        <v>102</v>
      </c>
      <c r="B33" s="1" t="s">
        <v>24</v>
      </c>
      <c r="C33" s="1" t="s">
        <v>25</v>
      </c>
      <c r="D33" s="1" t="s">
        <v>89</v>
      </c>
      <c r="E33" s="1" t="s">
        <v>58</v>
      </c>
      <c r="F33" s="1" t="s">
        <v>49</v>
      </c>
      <c r="G33" s="1" t="s">
        <v>44</v>
      </c>
      <c r="H33" s="1">
        <f t="shared" si="0"/>
        <v>5</v>
      </c>
      <c r="I33" s="1" t="s">
        <v>30</v>
      </c>
      <c r="J33" s="1" cm="1">
        <f t="array" ref="J33">_xlfn.SWITCH(I33,"No",0,"Not Sure",1,"Yes",2)</f>
        <v>2</v>
      </c>
      <c r="K33" s="1">
        <v>3</v>
      </c>
      <c r="L33" s="1" t="s">
        <v>42</v>
      </c>
      <c r="M33" s="1" cm="1">
        <f t="array" ref="M33">_xlfn.SWITCH(L33,"No",0,"Not Sure",1,"Yes",2)</f>
        <v>0</v>
      </c>
      <c r="N33" s="1" t="s">
        <v>32</v>
      </c>
      <c r="O33" s="1" cm="1">
        <f t="array" ref="O33">_xlfn.SWITCH(N33,"Less than 4 hours",3,"4 - 6 hours",5,"6 - 8 hours",7,"More than 8 hours",9)</f>
        <v>7</v>
      </c>
      <c r="P33" s="1" t="s">
        <v>50</v>
      </c>
      <c r="Q33" s="1" cm="1">
        <f t="array" ref="Q33">_xlfn.IFS(
    P33="Less than 1 hour", 1,
    P33="1-2 hours", 2,
    P33="2-4 hours", 3,
    P33="More than 4 hours", 4
)</f>
        <v>1</v>
      </c>
      <c r="R33" s="1" t="s">
        <v>80</v>
      </c>
      <c r="S33" s="1" cm="1">
        <f t="array" ref="S33">_xlfn.IFS(
    R33="Never", 1,
    R33="Rarely", 2,
    R33="Once a week", 3,
    R33="A few times a week", 4,
    R33="Daily", 5
)</f>
        <v>4</v>
      </c>
      <c r="T33" s="1" t="s">
        <v>60</v>
      </c>
      <c r="U33" s="1" t="s">
        <v>36</v>
      </c>
      <c r="V33" s="1" t="s">
        <v>37</v>
      </c>
      <c r="W33" s="1" t="s">
        <v>38</v>
      </c>
      <c r="X33" s="1" t="s">
        <v>39</v>
      </c>
      <c r="Y33" s="1" t="s">
        <v>52</v>
      </c>
    </row>
    <row r="34" spans="1:25" x14ac:dyDescent="0.3">
      <c r="A34" s="1" t="s">
        <v>103</v>
      </c>
      <c r="B34" s="1" t="s">
        <v>24</v>
      </c>
      <c r="C34" s="1" t="s">
        <v>25</v>
      </c>
      <c r="D34" s="1" t="s">
        <v>26</v>
      </c>
      <c r="E34" s="1" t="s">
        <v>58</v>
      </c>
      <c r="F34" s="1" t="s">
        <v>49</v>
      </c>
      <c r="G34" s="1" t="s">
        <v>44</v>
      </c>
      <c r="H34" s="1">
        <f t="shared" si="0"/>
        <v>5</v>
      </c>
      <c r="I34" s="1" t="s">
        <v>30</v>
      </c>
      <c r="J34" s="1" cm="1">
        <f t="array" ref="J34">_xlfn.SWITCH(I34,"No",0,"Not Sure",1,"Yes",2)</f>
        <v>2</v>
      </c>
      <c r="K34" s="1">
        <v>5</v>
      </c>
      <c r="L34" s="1" t="s">
        <v>30</v>
      </c>
      <c r="M34" s="1" cm="1">
        <f t="array" ref="M34">_xlfn.SWITCH(L34,"No",0,"Not Sure",1,"Yes",2)</f>
        <v>2</v>
      </c>
      <c r="N34" s="1" t="s">
        <v>67</v>
      </c>
      <c r="O34" s="1" cm="1">
        <f t="array" ref="O34">_xlfn.SWITCH(N34,"Less than 4 hours",3,"4 - 6 hours",5,"6 - 8 hours",7,"More than 8 hours",9)</f>
        <v>9</v>
      </c>
      <c r="P34" s="1" t="s">
        <v>33</v>
      </c>
      <c r="Q34" s="1" cm="1">
        <f t="array" ref="Q34">_xlfn.IFS(
    P34="Less than 1 hour", 1,
    P34="1-2 hours", 2,
    P34="2-4 hours", 3,
    P34="More than 4 hours", 4
)</f>
        <v>4</v>
      </c>
      <c r="R34" s="1" t="s">
        <v>80</v>
      </c>
      <c r="S34" s="1" cm="1">
        <f t="array" ref="S34">_xlfn.IFS(
    R34="Never", 1,
    R34="Rarely", 2,
    R34="Once a week", 3,
    R34="A few times a week", 4,
    R34="Daily", 5
)</f>
        <v>4</v>
      </c>
      <c r="T34" s="1" t="s">
        <v>35</v>
      </c>
      <c r="U34" s="1" t="s">
        <v>36</v>
      </c>
      <c r="V34" s="1" t="s">
        <v>72</v>
      </c>
      <c r="W34" s="1" t="s">
        <v>38</v>
      </c>
      <c r="X34" s="1" t="s">
        <v>39</v>
      </c>
      <c r="Y34" s="1" t="s">
        <v>40</v>
      </c>
    </row>
    <row r="35" spans="1:25" x14ac:dyDescent="0.3">
      <c r="A35" s="1" t="s">
        <v>104</v>
      </c>
      <c r="B35" s="1" t="s">
        <v>24</v>
      </c>
      <c r="C35" s="1" t="s">
        <v>25</v>
      </c>
      <c r="D35" s="1" t="s">
        <v>26</v>
      </c>
      <c r="E35" s="1" t="s">
        <v>27</v>
      </c>
      <c r="F35" s="1" t="s">
        <v>49</v>
      </c>
      <c r="G35" s="1" t="s">
        <v>34</v>
      </c>
      <c r="H35" s="1">
        <f t="shared" si="0"/>
        <v>2</v>
      </c>
      <c r="I35" s="1" t="s">
        <v>42</v>
      </c>
      <c r="J35" s="1" cm="1">
        <f t="array" ref="J35">_xlfn.SWITCH(I35,"No",0,"Not Sure",1,"Yes",2)</f>
        <v>0</v>
      </c>
      <c r="K35" s="1">
        <v>5</v>
      </c>
      <c r="L35" s="1" t="s">
        <v>42</v>
      </c>
      <c r="M35" s="1" cm="1">
        <f t="array" ref="M35">_xlfn.SWITCH(L35,"No",0,"Not Sure",1,"Yes",2)</f>
        <v>0</v>
      </c>
      <c r="N35" s="1" t="s">
        <v>54</v>
      </c>
      <c r="O35" s="1" cm="1">
        <f t="array" ref="O35">_xlfn.SWITCH(N35,"Less than 4 hours",3,"4 - 6 hours",5,"6 - 8 hours",7,"More than 8 hours",9)</f>
        <v>5</v>
      </c>
      <c r="P35" s="1" t="s">
        <v>43</v>
      </c>
      <c r="Q35" s="1" cm="1">
        <f t="array" ref="Q35">_xlfn.IFS(
    P35="Less than 1 hour", 1,
    P35="1-2 hours", 2,
    P35="2-4 hours", 3,
    P35="More than 4 hours", 4
)</f>
        <v>3</v>
      </c>
      <c r="R35" s="1" t="s">
        <v>80</v>
      </c>
      <c r="S35" s="1" cm="1">
        <f t="array" ref="S35">_xlfn.IFS(
    R35="Never", 1,
    R35="Rarely", 2,
    R35="Once a week", 3,
    R35="A few times a week", 4,
    R35="Daily", 5
)</f>
        <v>4</v>
      </c>
      <c r="T35" s="1" t="s">
        <v>35</v>
      </c>
      <c r="U35" s="1" t="s">
        <v>36</v>
      </c>
      <c r="V35" s="1" t="s">
        <v>45</v>
      </c>
      <c r="W35" s="1" t="s">
        <v>38</v>
      </c>
      <c r="X35" s="1" t="s">
        <v>39</v>
      </c>
      <c r="Y35" s="1" t="s">
        <v>52</v>
      </c>
    </row>
    <row r="36" spans="1:25" x14ac:dyDescent="0.3">
      <c r="A36" s="1" t="s">
        <v>105</v>
      </c>
      <c r="B36" s="1" t="s">
        <v>24</v>
      </c>
      <c r="C36" s="1" t="s">
        <v>25</v>
      </c>
      <c r="D36" s="1" t="s">
        <v>26</v>
      </c>
      <c r="E36" s="1" t="s">
        <v>27</v>
      </c>
      <c r="F36" s="1" t="s">
        <v>49</v>
      </c>
      <c r="G36" s="1" t="s">
        <v>34</v>
      </c>
      <c r="H36" s="1">
        <f t="shared" si="0"/>
        <v>2</v>
      </c>
      <c r="I36" s="1" t="s">
        <v>31</v>
      </c>
      <c r="J36" s="1" cm="1">
        <f t="array" ref="J36">_xlfn.SWITCH(I36,"No",0,"Not Sure",1,"Yes",2)</f>
        <v>1</v>
      </c>
      <c r="K36" s="1">
        <v>5</v>
      </c>
      <c r="L36" s="1" t="s">
        <v>30</v>
      </c>
      <c r="M36" s="1" cm="1">
        <f t="array" ref="M36">_xlfn.SWITCH(L36,"No",0,"Not Sure",1,"Yes",2)</f>
        <v>2</v>
      </c>
      <c r="N36" s="1" t="s">
        <v>39</v>
      </c>
      <c r="O36" s="1" cm="1">
        <f t="array" ref="O36">_xlfn.SWITCH(N36,"Less than 4 hours",3,"4 - 6 hours",5,"6 - 8 hours",7,"More than 8 hours",9)</f>
        <v>3</v>
      </c>
      <c r="P36" s="1" t="s">
        <v>33</v>
      </c>
      <c r="Q36" s="1" cm="1">
        <f t="array" ref="Q36">_xlfn.IFS(
    P36="Less than 1 hour", 1,
    P36="1-2 hours", 2,
    P36="2-4 hours", 3,
    P36="More than 4 hours", 4
)</f>
        <v>4</v>
      </c>
      <c r="R36" s="1" t="s">
        <v>44</v>
      </c>
      <c r="S36" s="1" cm="1">
        <f t="array" ref="S36">_xlfn.IFS(
    R36="Never", 1,
    R36="Rarely", 2,
    R36="Once a week", 3,
    R36="A few times a week", 4,
    R36="Daily", 5
)</f>
        <v>5</v>
      </c>
      <c r="T36" s="1" t="s">
        <v>60</v>
      </c>
      <c r="U36" s="1" t="s">
        <v>56</v>
      </c>
      <c r="V36" s="1" t="s">
        <v>51</v>
      </c>
      <c r="W36" s="1" t="s">
        <v>38</v>
      </c>
      <c r="X36" s="1" t="s">
        <v>39</v>
      </c>
      <c r="Y36" s="1" t="s">
        <v>40</v>
      </c>
    </row>
    <row r="37" spans="1:25" x14ac:dyDescent="0.3">
      <c r="A37" s="1" t="s">
        <v>106</v>
      </c>
      <c r="B37" s="1" t="s">
        <v>24</v>
      </c>
      <c r="C37" s="1" t="s">
        <v>25</v>
      </c>
      <c r="D37" s="1" t="s">
        <v>107</v>
      </c>
      <c r="E37" s="1" t="s">
        <v>27</v>
      </c>
      <c r="F37" s="1" t="s">
        <v>49</v>
      </c>
      <c r="G37" s="1" t="s">
        <v>34</v>
      </c>
      <c r="H37" s="1">
        <f t="shared" si="0"/>
        <v>2</v>
      </c>
      <c r="I37" s="1" t="s">
        <v>42</v>
      </c>
      <c r="J37" s="1" cm="1">
        <f t="array" ref="J37">_xlfn.SWITCH(I37,"No",0,"Not Sure",1,"Yes",2)</f>
        <v>0</v>
      </c>
      <c r="K37" s="1">
        <v>1</v>
      </c>
      <c r="L37" s="1" t="s">
        <v>30</v>
      </c>
      <c r="M37" s="1" cm="1">
        <f t="array" ref="M37">_xlfn.SWITCH(L37,"No",0,"Not Sure",1,"Yes",2)</f>
        <v>2</v>
      </c>
      <c r="N37" s="1" t="s">
        <v>54</v>
      </c>
      <c r="O37" s="1" cm="1">
        <f t="array" ref="O37">_xlfn.SWITCH(N37,"Less than 4 hours",3,"4 - 6 hours",5,"6 - 8 hours",7,"More than 8 hours",9)</f>
        <v>5</v>
      </c>
      <c r="P37" s="1" t="s">
        <v>33</v>
      </c>
      <c r="Q37" s="1" cm="1">
        <f t="array" ref="Q37">_xlfn.IFS(
    P37="Less than 1 hour", 1,
    P37="1-2 hours", 2,
    P37="2-4 hours", 3,
    P37="More than 4 hours", 4
)</f>
        <v>4</v>
      </c>
      <c r="R37" s="1" t="s">
        <v>44</v>
      </c>
      <c r="S37" s="1" cm="1">
        <f t="array" ref="S37">_xlfn.IFS(
    R37="Never", 1,
    R37="Rarely", 2,
    R37="Once a week", 3,
    R37="A few times a week", 4,
    R37="Daily", 5
)</f>
        <v>5</v>
      </c>
      <c r="T37" s="1" t="s">
        <v>60</v>
      </c>
      <c r="U37" s="1" t="s">
        <v>56</v>
      </c>
      <c r="V37" s="1" t="s">
        <v>37</v>
      </c>
      <c r="W37" s="1" t="s">
        <v>38</v>
      </c>
      <c r="X37" s="1" t="s">
        <v>52</v>
      </c>
      <c r="Y37" s="1" t="s">
        <v>39</v>
      </c>
    </row>
    <row r="38" spans="1:25" x14ac:dyDescent="0.3">
      <c r="A38" s="1" t="s">
        <v>108</v>
      </c>
      <c r="B38" s="1" t="s">
        <v>24</v>
      </c>
      <c r="C38" s="1" t="s">
        <v>25</v>
      </c>
      <c r="D38" s="1" t="s">
        <v>107</v>
      </c>
      <c r="E38" s="1" t="s">
        <v>58</v>
      </c>
      <c r="F38" s="1" t="s">
        <v>49</v>
      </c>
      <c r="G38" s="1" t="s">
        <v>44</v>
      </c>
      <c r="H38" s="1">
        <f t="shared" si="0"/>
        <v>5</v>
      </c>
      <c r="I38" s="1" t="s">
        <v>30</v>
      </c>
      <c r="J38" s="1" cm="1">
        <f t="array" ref="J38">_xlfn.SWITCH(I38,"No",0,"Not Sure",1,"Yes",2)</f>
        <v>2</v>
      </c>
      <c r="K38" s="1">
        <v>1</v>
      </c>
      <c r="L38" s="1" t="s">
        <v>42</v>
      </c>
      <c r="M38" s="1" cm="1">
        <f t="array" ref="M38">_xlfn.SWITCH(L38,"No",0,"Not Sure",1,"Yes",2)</f>
        <v>0</v>
      </c>
      <c r="N38" s="1" t="s">
        <v>39</v>
      </c>
      <c r="O38" s="1" cm="1">
        <f t="array" ref="O38">_xlfn.SWITCH(N38,"Less than 4 hours",3,"4 - 6 hours",5,"6 - 8 hours",7,"More than 8 hours",9)</f>
        <v>3</v>
      </c>
      <c r="P38" s="1" t="s">
        <v>59</v>
      </c>
      <c r="Q38" s="1" cm="1">
        <f t="array" ref="Q38">_xlfn.IFS(
    P38="Less than 1 hour", 1,
    P38="1-2 hours", 2,
    P38="2-4 hours", 3,
    P38="More than 4 hours", 4
)</f>
        <v>2</v>
      </c>
      <c r="R38" s="1" t="s">
        <v>34</v>
      </c>
      <c r="S38" s="1" cm="1">
        <f t="array" ref="S38">_xlfn.IFS(
    R38="Never", 1,
    R38="Rarely", 2,
    R38="Once a week", 3,
    R38="A few times a week", 4,
    R38="Daily", 5
)</f>
        <v>2</v>
      </c>
      <c r="T38" s="1" t="s">
        <v>60</v>
      </c>
      <c r="U38" s="1" t="s">
        <v>56</v>
      </c>
      <c r="V38" s="1" t="s">
        <v>51</v>
      </c>
      <c r="W38" s="1" t="s">
        <v>38</v>
      </c>
      <c r="X38" s="1" t="s">
        <v>39</v>
      </c>
      <c r="Y38" s="1" t="s">
        <v>39</v>
      </c>
    </row>
    <row r="39" spans="1:25" x14ac:dyDescent="0.3">
      <c r="A39" s="1" t="s">
        <v>109</v>
      </c>
      <c r="B39" s="1" t="s">
        <v>24</v>
      </c>
      <c r="C39" s="1" t="s">
        <v>25</v>
      </c>
      <c r="D39" s="1" t="s">
        <v>26</v>
      </c>
      <c r="E39" s="1" t="s">
        <v>58</v>
      </c>
      <c r="F39" s="1" t="s">
        <v>49</v>
      </c>
      <c r="G39" s="1" t="s">
        <v>29</v>
      </c>
      <c r="H39" s="1">
        <f t="shared" si="0"/>
        <v>3</v>
      </c>
      <c r="I39" s="1" t="s">
        <v>30</v>
      </c>
      <c r="J39" s="1" cm="1">
        <f t="array" ref="J39">_xlfn.SWITCH(I39,"No",0,"Not Sure",1,"Yes",2)</f>
        <v>2</v>
      </c>
      <c r="K39" s="1">
        <v>3</v>
      </c>
      <c r="L39" s="1" t="s">
        <v>30</v>
      </c>
      <c r="M39" s="1" cm="1">
        <f t="array" ref="M39">_xlfn.SWITCH(L39,"No",0,"Not Sure",1,"Yes",2)</f>
        <v>2</v>
      </c>
      <c r="N39" s="1" t="s">
        <v>32</v>
      </c>
      <c r="O39" s="1" cm="1">
        <f t="array" ref="O39">_xlfn.SWITCH(N39,"Less than 4 hours",3,"4 - 6 hours",5,"6 - 8 hours",7,"More than 8 hours",9)</f>
        <v>7</v>
      </c>
      <c r="P39" s="1" t="s">
        <v>43</v>
      </c>
      <c r="Q39" s="1" cm="1">
        <f t="array" ref="Q39">_xlfn.IFS(
    P39="Less than 1 hour", 1,
    P39="1-2 hours", 2,
    P39="2-4 hours", 3,
    P39="More than 4 hours", 4
)</f>
        <v>3</v>
      </c>
      <c r="R39" s="1" t="s">
        <v>44</v>
      </c>
      <c r="S39" s="1" cm="1">
        <f t="array" ref="S39">_xlfn.IFS(
    R39="Never", 1,
    R39="Rarely", 2,
    R39="Once a week", 3,
    R39="A few times a week", 4,
    R39="Daily", 5
)</f>
        <v>5</v>
      </c>
      <c r="T39" s="1" t="s">
        <v>60</v>
      </c>
      <c r="U39" s="1" t="s">
        <v>63</v>
      </c>
      <c r="V39" s="1" t="s">
        <v>72</v>
      </c>
      <c r="W39" s="1" t="s">
        <v>38</v>
      </c>
      <c r="X39" s="1" t="s">
        <v>39</v>
      </c>
      <c r="Y39" s="1" t="s">
        <v>52</v>
      </c>
    </row>
    <row r="40" spans="1:25" x14ac:dyDescent="0.3">
      <c r="A40" s="1" t="s">
        <v>110</v>
      </c>
      <c r="B40" s="1" t="s">
        <v>24</v>
      </c>
      <c r="C40" s="1" t="s">
        <v>25</v>
      </c>
      <c r="D40" s="1" t="s">
        <v>107</v>
      </c>
      <c r="E40" s="1" t="s">
        <v>58</v>
      </c>
      <c r="F40" s="1" t="s">
        <v>49</v>
      </c>
      <c r="G40" s="1" t="s">
        <v>44</v>
      </c>
      <c r="H40" s="1">
        <f t="shared" si="0"/>
        <v>5</v>
      </c>
      <c r="I40" s="1" t="s">
        <v>30</v>
      </c>
      <c r="J40" s="1" cm="1">
        <f t="array" ref="J40">_xlfn.SWITCH(I40,"No",0,"Not Sure",1,"Yes",2)</f>
        <v>2</v>
      </c>
      <c r="K40" s="1">
        <v>2</v>
      </c>
      <c r="L40" s="1" t="s">
        <v>30</v>
      </c>
      <c r="M40" s="1" cm="1">
        <f t="array" ref="M40">_xlfn.SWITCH(L40,"No",0,"Not Sure",1,"Yes",2)</f>
        <v>2</v>
      </c>
      <c r="N40" s="1" t="s">
        <v>32</v>
      </c>
      <c r="O40" s="1" cm="1">
        <f t="array" ref="O40">_xlfn.SWITCH(N40,"Less than 4 hours",3,"4 - 6 hours",5,"6 - 8 hours",7,"More than 8 hours",9)</f>
        <v>7</v>
      </c>
      <c r="P40" s="1" t="s">
        <v>43</v>
      </c>
      <c r="Q40" s="1" cm="1">
        <f t="array" ref="Q40">_xlfn.IFS(
    P40="Less than 1 hour", 1,
    P40="1-2 hours", 2,
    P40="2-4 hours", 3,
    P40="More than 4 hours", 4
)</f>
        <v>3</v>
      </c>
      <c r="R40" s="1" t="s">
        <v>44</v>
      </c>
      <c r="S40" s="1" cm="1">
        <f t="array" ref="S40">_xlfn.IFS(
    R40="Never", 1,
    R40="Rarely", 2,
    R40="Once a week", 3,
    R40="A few times a week", 4,
    R40="Daily", 5
)</f>
        <v>5</v>
      </c>
      <c r="T40" s="1" t="s">
        <v>60</v>
      </c>
      <c r="U40" s="1" t="s">
        <v>63</v>
      </c>
      <c r="V40" s="1" t="s">
        <v>72</v>
      </c>
      <c r="W40" s="1" t="s">
        <v>38</v>
      </c>
      <c r="X40" s="1" t="s">
        <v>39</v>
      </c>
      <c r="Y40" s="1" t="s">
        <v>40</v>
      </c>
    </row>
    <row r="41" spans="1:25" x14ac:dyDescent="0.3">
      <c r="A41" s="2" t="s">
        <v>111</v>
      </c>
      <c r="B41" s="1" t="s">
        <v>24</v>
      </c>
      <c r="C41" s="2" t="s">
        <v>25</v>
      </c>
      <c r="D41" s="2" t="s">
        <v>26</v>
      </c>
      <c r="E41" s="2" t="s">
        <v>27</v>
      </c>
      <c r="F41" s="2" t="s">
        <v>28</v>
      </c>
      <c r="G41" s="2" t="s">
        <v>44</v>
      </c>
      <c r="H41" s="1">
        <f t="shared" si="0"/>
        <v>5</v>
      </c>
      <c r="I41" s="2" t="s">
        <v>30</v>
      </c>
      <c r="J41" s="1" cm="1">
        <f t="array" ref="J41">_xlfn.SWITCH(I41,"No",0,"Not Sure",1,"Yes",2)</f>
        <v>2</v>
      </c>
      <c r="K41" s="3">
        <v>3</v>
      </c>
      <c r="L41" s="2" t="s">
        <v>30</v>
      </c>
      <c r="M41" s="1" cm="1">
        <f t="array" ref="M41">_xlfn.SWITCH(L41,"No",0,"Not Sure",1,"Yes",2)</f>
        <v>2</v>
      </c>
      <c r="N41" s="2" t="s">
        <v>54</v>
      </c>
      <c r="O41" s="1" cm="1">
        <f t="array" ref="O41">_xlfn.SWITCH(N41,"Less than 4 hours",3,"4 - 6 hours",5,"6 - 8 hours",7,"More than 8 hours",9)</f>
        <v>5</v>
      </c>
      <c r="P41" s="2" t="s">
        <v>59</v>
      </c>
      <c r="Q41" s="1" cm="1">
        <f t="array" ref="Q41">_xlfn.IFS(
    P41="Less than 1 hour", 1,
    P41="1-2 hours", 2,
    P41="2-4 hours", 3,
    P41="More than 4 hours", 4
)</f>
        <v>2</v>
      </c>
      <c r="R41" s="2" t="s">
        <v>34</v>
      </c>
      <c r="S41" s="1" cm="1">
        <f t="array" ref="S41">_xlfn.IFS(
    R41="Never", 1,
    R41="Rarely", 2,
    R41="Once a week", 3,
    R41="A few times a week", 4,
    R41="Daily", 5
)</f>
        <v>2</v>
      </c>
      <c r="T41" s="2" t="s">
        <v>60</v>
      </c>
      <c r="U41" s="2" t="s">
        <v>36</v>
      </c>
      <c r="V41" s="2" t="s">
        <v>37</v>
      </c>
      <c r="W41" s="2" t="s">
        <v>38</v>
      </c>
      <c r="X41" s="2" t="s">
        <v>39</v>
      </c>
      <c r="Y41" s="2" t="s">
        <v>46</v>
      </c>
    </row>
    <row r="42" spans="1:25" x14ac:dyDescent="0.3">
      <c r="A42" s="1" t="s">
        <v>112</v>
      </c>
      <c r="B42" s="1" t="s">
        <v>83</v>
      </c>
      <c r="C42" s="1" t="s">
        <v>84</v>
      </c>
      <c r="D42" s="1" t="s">
        <v>48</v>
      </c>
      <c r="E42" s="1" t="s">
        <v>27</v>
      </c>
      <c r="F42" s="1" t="s">
        <v>28</v>
      </c>
      <c r="G42" s="1" t="s">
        <v>44</v>
      </c>
      <c r="H42" s="1">
        <f t="shared" si="0"/>
        <v>5</v>
      </c>
      <c r="I42" s="1" t="s">
        <v>42</v>
      </c>
      <c r="J42" s="1" cm="1">
        <f t="array" ref="J42">_xlfn.SWITCH(I42,"No",0,"Not Sure",1,"Yes",2)</f>
        <v>0</v>
      </c>
      <c r="K42" s="1">
        <v>3</v>
      </c>
      <c r="L42" s="1" t="s">
        <v>31</v>
      </c>
      <c r="M42" s="1" cm="1">
        <f t="array" ref="M42">_xlfn.SWITCH(L42,"No",0,"Not Sure",1,"Yes",2)</f>
        <v>1</v>
      </c>
      <c r="N42" s="1" t="s">
        <v>32</v>
      </c>
      <c r="O42" s="1" cm="1">
        <f t="array" ref="O42">_xlfn.SWITCH(N42,"Less than 4 hours",3,"4 - 6 hours",5,"6 - 8 hours",7,"More than 8 hours",9)</f>
        <v>7</v>
      </c>
      <c r="P42" s="1" t="s">
        <v>43</v>
      </c>
      <c r="Q42" s="1" cm="1">
        <f t="array" ref="Q42">_xlfn.IFS(
    P42="Less than 1 hour", 1,
    P42="1-2 hours", 2,
    P42="2-4 hours", 3,
    P42="More than 4 hours", 4
)</f>
        <v>3</v>
      </c>
      <c r="R42" s="1" t="s">
        <v>79</v>
      </c>
      <c r="S42" s="1" cm="1">
        <f t="array" ref="S42">_xlfn.IFS(
    R42="Never", 1,
    R42="Rarely", 2,
    R42="Once a week", 3,
    R42="A few times a week", 4,
    R42="Daily", 5
)</f>
        <v>1</v>
      </c>
      <c r="T42" s="1" t="s">
        <v>35</v>
      </c>
      <c r="U42" s="1" t="s">
        <v>36</v>
      </c>
      <c r="V42" s="1" t="s">
        <v>45</v>
      </c>
      <c r="W42" s="1" t="s">
        <v>38</v>
      </c>
      <c r="X42" s="1" t="s">
        <v>39</v>
      </c>
      <c r="Y42" s="1" t="s">
        <v>52</v>
      </c>
    </row>
    <row r="43" spans="1:25" x14ac:dyDescent="0.3">
      <c r="A43" s="1" t="s">
        <v>113</v>
      </c>
      <c r="B43" s="1" t="s">
        <v>24</v>
      </c>
      <c r="C43" s="1" t="s">
        <v>25</v>
      </c>
      <c r="D43" s="1" t="s">
        <v>114</v>
      </c>
      <c r="E43" s="1" t="s">
        <v>58</v>
      </c>
      <c r="F43" s="1" t="s">
        <v>49</v>
      </c>
      <c r="G43" s="1" t="s">
        <v>44</v>
      </c>
      <c r="H43" s="1">
        <f t="shared" si="0"/>
        <v>5</v>
      </c>
      <c r="I43" s="1" t="s">
        <v>30</v>
      </c>
      <c r="J43" s="1" cm="1">
        <f t="array" ref="J43">_xlfn.SWITCH(I43,"No",0,"Not Sure",1,"Yes",2)</f>
        <v>2</v>
      </c>
      <c r="K43" s="1">
        <v>2</v>
      </c>
      <c r="L43" s="1" t="s">
        <v>30</v>
      </c>
      <c r="M43" s="1" cm="1">
        <f t="array" ref="M43">_xlfn.SWITCH(L43,"No",0,"Not Sure",1,"Yes",2)</f>
        <v>2</v>
      </c>
      <c r="N43" s="1" t="s">
        <v>54</v>
      </c>
      <c r="O43" s="1" cm="1">
        <f t="array" ref="O43">_xlfn.SWITCH(N43,"Less than 4 hours",3,"4 - 6 hours",5,"6 - 8 hours",7,"More than 8 hours",9)</f>
        <v>5</v>
      </c>
      <c r="P43" s="1" t="s">
        <v>43</v>
      </c>
      <c r="Q43" s="1" cm="1">
        <f t="array" ref="Q43">_xlfn.IFS(
    P43="Less than 1 hour", 1,
    P43="1-2 hours", 2,
    P43="2-4 hours", 3,
    P43="More than 4 hours", 4
)</f>
        <v>3</v>
      </c>
      <c r="R43" s="1" t="s">
        <v>34</v>
      </c>
      <c r="S43" s="1" cm="1">
        <f t="array" ref="S43">_xlfn.IFS(
    R43="Never", 1,
    R43="Rarely", 2,
    R43="Once a week", 3,
    R43="A few times a week", 4,
    R43="Daily", 5
)</f>
        <v>2</v>
      </c>
      <c r="T43" s="1" t="s">
        <v>60</v>
      </c>
      <c r="U43" s="1" t="s">
        <v>36</v>
      </c>
      <c r="V43" s="1" t="s">
        <v>51</v>
      </c>
      <c r="W43" s="1" t="s">
        <v>38</v>
      </c>
      <c r="X43" s="1" t="s">
        <v>39</v>
      </c>
      <c r="Y43" s="1" t="s">
        <v>40</v>
      </c>
    </row>
    <row r="44" spans="1:25" x14ac:dyDescent="0.3">
      <c r="A44" s="1" t="s">
        <v>115</v>
      </c>
      <c r="B44" s="1" t="s">
        <v>116</v>
      </c>
      <c r="C44" s="1" t="s">
        <v>117</v>
      </c>
      <c r="D44" s="1" t="s">
        <v>48</v>
      </c>
      <c r="E44" s="1" t="s">
        <v>27</v>
      </c>
      <c r="F44" s="1" t="s">
        <v>28</v>
      </c>
      <c r="G44" s="1" t="s">
        <v>69</v>
      </c>
      <c r="H44" s="1">
        <f t="shared" si="0"/>
        <v>4</v>
      </c>
      <c r="I44" s="1" t="s">
        <v>42</v>
      </c>
      <c r="J44" s="1" cm="1">
        <f t="array" ref="J44">_xlfn.SWITCH(I44,"No",0,"Not Sure",1,"Yes",2)</f>
        <v>0</v>
      </c>
      <c r="K44" s="1">
        <v>3</v>
      </c>
      <c r="L44" s="1" t="s">
        <v>42</v>
      </c>
      <c r="M44" s="1" cm="1">
        <f t="array" ref="M44">_xlfn.SWITCH(L44,"No",0,"Not Sure",1,"Yes",2)</f>
        <v>0</v>
      </c>
      <c r="N44" s="1" t="s">
        <v>32</v>
      </c>
      <c r="O44" s="1" cm="1">
        <f t="array" ref="O44">_xlfn.SWITCH(N44,"Less than 4 hours",3,"4 - 6 hours",5,"6 - 8 hours",7,"More than 8 hours",9)</f>
        <v>7</v>
      </c>
      <c r="P44" s="1" t="s">
        <v>43</v>
      </c>
      <c r="Q44" s="1" cm="1">
        <f t="array" ref="Q44">_xlfn.IFS(
    P44="Less than 1 hour", 1,
    P44="1-2 hours", 2,
    P44="2-4 hours", 3,
    P44="More than 4 hours", 4
)</f>
        <v>3</v>
      </c>
      <c r="R44" s="1" t="s">
        <v>80</v>
      </c>
      <c r="S44" s="1" cm="1">
        <f t="array" ref="S44">_xlfn.IFS(
    R44="Never", 1,
    R44="Rarely", 2,
    R44="Once a week", 3,
    R44="A few times a week", 4,
    R44="Daily", 5
)</f>
        <v>4</v>
      </c>
      <c r="T44" s="1" t="s">
        <v>35</v>
      </c>
      <c r="U44" s="1" t="s">
        <v>63</v>
      </c>
      <c r="V44" s="1" t="s">
        <v>45</v>
      </c>
      <c r="W44" s="1" t="s">
        <v>38</v>
      </c>
      <c r="X44" s="1" t="s">
        <v>52</v>
      </c>
      <c r="Y44" s="1" t="s">
        <v>46</v>
      </c>
    </row>
    <row r="45" spans="1:25" x14ac:dyDescent="0.3">
      <c r="A45" s="1" t="s">
        <v>118</v>
      </c>
      <c r="B45" s="1" t="s">
        <v>119</v>
      </c>
      <c r="C45" s="1" t="s">
        <v>120</v>
      </c>
      <c r="D45" s="1" t="s">
        <v>107</v>
      </c>
      <c r="E45" s="1" t="s">
        <v>27</v>
      </c>
      <c r="F45" s="1" t="s">
        <v>49</v>
      </c>
      <c r="G45" s="1" t="s">
        <v>29</v>
      </c>
      <c r="H45" s="1">
        <f t="shared" si="0"/>
        <v>3</v>
      </c>
      <c r="I45" s="1" t="s">
        <v>30</v>
      </c>
      <c r="J45" s="1" cm="1">
        <f t="array" ref="J45">_xlfn.SWITCH(I45,"No",0,"Not Sure",1,"Yes",2)</f>
        <v>2</v>
      </c>
      <c r="K45" s="1">
        <v>4</v>
      </c>
      <c r="L45" s="1" t="s">
        <v>30</v>
      </c>
      <c r="M45" s="1" cm="1">
        <f t="array" ref="M45">_xlfn.SWITCH(L45,"No",0,"Not Sure",1,"Yes",2)</f>
        <v>2</v>
      </c>
      <c r="N45" s="1" t="s">
        <v>32</v>
      </c>
      <c r="O45" s="1" cm="1">
        <f t="array" ref="O45">_xlfn.SWITCH(N45,"Less than 4 hours",3,"4 - 6 hours",5,"6 - 8 hours",7,"More than 8 hours",9)</f>
        <v>7</v>
      </c>
      <c r="P45" s="1" t="s">
        <v>59</v>
      </c>
      <c r="Q45" s="1" cm="1">
        <f t="array" ref="Q45">_xlfn.IFS(
    P45="Less than 1 hour", 1,
    P45="1-2 hours", 2,
    P45="2-4 hours", 3,
    P45="More than 4 hours", 4
)</f>
        <v>2</v>
      </c>
      <c r="R45" s="1" t="s">
        <v>44</v>
      </c>
      <c r="S45" s="1" cm="1">
        <f t="array" ref="S45">_xlfn.IFS(
    R45="Never", 1,
    R45="Rarely", 2,
    R45="Once a week", 3,
    R45="A few times a week", 4,
    R45="Daily", 5
)</f>
        <v>5</v>
      </c>
      <c r="T45" s="1" t="s">
        <v>60</v>
      </c>
      <c r="U45" s="1" t="s">
        <v>56</v>
      </c>
      <c r="V45" s="1" t="s">
        <v>37</v>
      </c>
      <c r="W45" s="1" t="s">
        <v>38</v>
      </c>
      <c r="X45" s="1" t="s">
        <v>39</v>
      </c>
      <c r="Y45" s="1" t="s">
        <v>40</v>
      </c>
    </row>
    <row r="46" spans="1:25" x14ac:dyDescent="0.3">
      <c r="A46" s="1" t="s">
        <v>121</v>
      </c>
      <c r="B46" s="1" t="s">
        <v>83</v>
      </c>
      <c r="C46" s="1" t="s">
        <v>122</v>
      </c>
      <c r="D46" s="1" t="s">
        <v>26</v>
      </c>
      <c r="E46" s="1" t="s">
        <v>101</v>
      </c>
      <c r="F46" s="1" t="s">
        <v>28</v>
      </c>
      <c r="G46" s="1" t="s">
        <v>44</v>
      </c>
      <c r="H46" s="1">
        <f t="shared" si="0"/>
        <v>5</v>
      </c>
      <c r="I46" s="1" t="s">
        <v>30</v>
      </c>
      <c r="J46" s="1" cm="1">
        <f t="array" ref="J46">_xlfn.SWITCH(I46,"No",0,"Not Sure",1,"Yes",2)</f>
        <v>2</v>
      </c>
      <c r="K46" s="1">
        <v>2</v>
      </c>
      <c r="L46" s="1" t="s">
        <v>31</v>
      </c>
      <c r="M46" s="1" cm="1">
        <f t="array" ref="M46">_xlfn.SWITCH(L46,"No",0,"Not Sure",1,"Yes",2)</f>
        <v>1</v>
      </c>
      <c r="N46" s="1" t="s">
        <v>54</v>
      </c>
      <c r="O46" s="1" cm="1">
        <f t="array" ref="O46">_xlfn.SWITCH(N46,"Less than 4 hours",3,"4 - 6 hours",5,"6 - 8 hours",7,"More than 8 hours",9)</f>
        <v>5</v>
      </c>
      <c r="P46" s="1" t="s">
        <v>33</v>
      </c>
      <c r="Q46" s="1" cm="1">
        <f t="array" ref="Q46">_xlfn.IFS(
    P46="Less than 1 hour", 1,
    P46="1-2 hours", 2,
    P46="2-4 hours", 3,
    P46="More than 4 hours", 4
)</f>
        <v>4</v>
      </c>
      <c r="R46" s="1" t="s">
        <v>34</v>
      </c>
      <c r="S46" s="1" cm="1">
        <f t="array" ref="S46">_xlfn.IFS(
    R46="Never", 1,
    R46="Rarely", 2,
    R46="Once a week", 3,
    R46="A few times a week", 4,
    R46="Daily", 5
)</f>
        <v>2</v>
      </c>
      <c r="T46" s="1" t="s">
        <v>55</v>
      </c>
      <c r="U46" s="1" t="s">
        <v>36</v>
      </c>
      <c r="V46" s="1" t="s">
        <v>65</v>
      </c>
      <c r="W46" s="1" t="s">
        <v>38</v>
      </c>
      <c r="X46" s="1" t="s">
        <v>39</v>
      </c>
      <c r="Y46" s="1" t="s">
        <v>46</v>
      </c>
    </row>
    <row r="47" spans="1:25" x14ac:dyDescent="0.3">
      <c r="A47" s="1" t="s">
        <v>123</v>
      </c>
      <c r="B47" s="1" t="s">
        <v>24</v>
      </c>
      <c r="C47" s="1" t="s">
        <v>84</v>
      </c>
      <c r="D47" s="1" t="s">
        <v>48</v>
      </c>
      <c r="E47" s="1" t="s">
        <v>27</v>
      </c>
      <c r="F47" s="1" t="s">
        <v>49</v>
      </c>
      <c r="G47" s="1" t="s">
        <v>69</v>
      </c>
      <c r="H47" s="1">
        <f t="shared" si="0"/>
        <v>4</v>
      </c>
      <c r="I47" s="1" t="s">
        <v>30</v>
      </c>
      <c r="J47" s="1" cm="1">
        <f t="array" ref="J47">_xlfn.SWITCH(I47,"No",0,"Not Sure",1,"Yes",2)</f>
        <v>2</v>
      </c>
      <c r="K47" s="1">
        <v>3</v>
      </c>
      <c r="L47" s="1" t="s">
        <v>30</v>
      </c>
      <c r="M47" s="1" cm="1">
        <f t="array" ref="M47">_xlfn.SWITCH(L47,"No",0,"Not Sure",1,"Yes",2)</f>
        <v>2</v>
      </c>
      <c r="N47" s="1" t="s">
        <v>32</v>
      </c>
      <c r="O47" s="1" cm="1">
        <f t="array" ref="O47">_xlfn.SWITCH(N47,"Less than 4 hours",3,"4 - 6 hours",5,"6 - 8 hours",7,"More than 8 hours",9)</f>
        <v>7</v>
      </c>
      <c r="P47" s="1" t="s">
        <v>43</v>
      </c>
      <c r="Q47" s="1" cm="1">
        <f t="array" ref="Q47">_xlfn.IFS(
    P47="Less than 1 hour", 1,
    P47="1-2 hours", 2,
    P47="2-4 hours", 3,
    P47="More than 4 hours", 4
)</f>
        <v>3</v>
      </c>
      <c r="R47" s="1" t="s">
        <v>79</v>
      </c>
      <c r="S47" s="1" cm="1">
        <f t="array" ref="S47">_xlfn.IFS(
    R47="Never", 1,
    R47="Rarely", 2,
    R47="Once a week", 3,
    R47="A few times a week", 4,
    R47="Daily", 5
)</f>
        <v>1</v>
      </c>
      <c r="T47" s="1" t="s">
        <v>35</v>
      </c>
      <c r="U47" s="1" t="s">
        <v>91</v>
      </c>
      <c r="V47" s="1" t="s">
        <v>45</v>
      </c>
      <c r="W47" s="1" t="s">
        <v>38</v>
      </c>
      <c r="X47" s="1" t="s">
        <v>87</v>
      </c>
      <c r="Y47" s="1" t="s">
        <v>87</v>
      </c>
    </row>
    <row r="48" spans="1:25" x14ac:dyDescent="0.3">
      <c r="A48" s="1" t="s">
        <v>124</v>
      </c>
      <c r="B48" s="1" t="s">
        <v>119</v>
      </c>
      <c r="C48" s="1" t="s">
        <v>125</v>
      </c>
      <c r="D48" s="1" t="s">
        <v>107</v>
      </c>
      <c r="E48" s="1" t="s">
        <v>27</v>
      </c>
      <c r="F48" s="1" t="s">
        <v>49</v>
      </c>
      <c r="G48" s="1" t="s">
        <v>34</v>
      </c>
      <c r="H48" s="1">
        <f t="shared" si="0"/>
        <v>2</v>
      </c>
      <c r="I48" s="1" t="s">
        <v>42</v>
      </c>
      <c r="J48" s="1" cm="1">
        <f t="array" ref="J48">_xlfn.SWITCH(I48,"No",0,"Not Sure",1,"Yes",2)</f>
        <v>0</v>
      </c>
      <c r="K48" s="1">
        <v>5</v>
      </c>
      <c r="L48" s="1" t="s">
        <v>42</v>
      </c>
      <c r="M48" s="1" cm="1">
        <f t="array" ref="M48">_xlfn.SWITCH(L48,"No",0,"Not Sure",1,"Yes",2)</f>
        <v>0</v>
      </c>
      <c r="N48" s="1" t="s">
        <v>67</v>
      </c>
      <c r="O48" s="1" cm="1">
        <f t="array" ref="O48">_xlfn.SWITCH(N48,"Less than 4 hours",3,"4 - 6 hours",5,"6 - 8 hours",7,"More than 8 hours",9)</f>
        <v>9</v>
      </c>
      <c r="P48" s="1" t="s">
        <v>59</v>
      </c>
      <c r="Q48" s="1" cm="1">
        <f t="array" ref="Q48">_xlfn.IFS(
    P48="Less than 1 hour", 1,
    P48="1-2 hours", 2,
    P48="2-4 hours", 3,
    P48="More than 4 hours", 4
)</f>
        <v>2</v>
      </c>
      <c r="R48" s="1" t="s">
        <v>80</v>
      </c>
      <c r="S48" s="1" cm="1">
        <f t="array" ref="S48">_xlfn.IFS(
    R48="Never", 1,
    R48="Rarely", 2,
    R48="Once a week", 3,
    R48="A few times a week", 4,
    R48="Daily", 5
)</f>
        <v>4</v>
      </c>
      <c r="T48" s="1" t="s">
        <v>55</v>
      </c>
      <c r="U48" s="1" t="s">
        <v>63</v>
      </c>
      <c r="V48" s="1" t="s">
        <v>94</v>
      </c>
      <c r="W48" s="1" t="s">
        <v>38</v>
      </c>
      <c r="X48" s="1" t="s">
        <v>46</v>
      </c>
      <c r="Y48" s="1" t="s">
        <v>52</v>
      </c>
    </row>
    <row r="49" spans="1:25" x14ac:dyDescent="0.3">
      <c r="A49" s="1" t="s">
        <v>126</v>
      </c>
      <c r="B49" s="1" t="s">
        <v>116</v>
      </c>
      <c r="C49" s="1" t="s">
        <v>25</v>
      </c>
      <c r="D49" s="1" t="s">
        <v>114</v>
      </c>
      <c r="E49" s="1" t="s">
        <v>58</v>
      </c>
      <c r="F49" s="1" t="s">
        <v>28</v>
      </c>
      <c r="G49" s="1" t="s">
        <v>29</v>
      </c>
      <c r="H49" s="1">
        <f t="shared" si="0"/>
        <v>3</v>
      </c>
      <c r="I49" s="1" t="s">
        <v>31</v>
      </c>
      <c r="J49" s="1" cm="1">
        <f t="array" ref="J49">_xlfn.SWITCH(I49,"No",0,"Not Sure",1,"Yes",2)</f>
        <v>1</v>
      </c>
      <c r="K49" s="1">
        <v>4</v>
      </c>
      <c r="L49" s="1" t="s">
        <v>30</v>
      </c>
      <c r="M49" s="1" cm="1">
        <f t="array" ref="M49">_xlfn.SWITCH(L49,"No",0,"Not Sure",1,"Yes",2)</f>
        <v>2</v>
      </c>
      <c r="N49" s="1" t="s">
        <v>32</v>
      </c>
      <c r="O49" s="1" cm="1">
        <f t="array" ref="O49">_xlfn.SWITCH(N49,"Less than 4 hours",3,"4 - 6 hours",5,"6 - 8 hours",7,"More than 8 hours",9)</f>
        <v>7</v>
      </c>
      <c r="P49" s="1" t="s">
        <v>43</v>
      </c>
      <c r="Q49" s="1" cm="1">
        <f t="array" ref="Q49">_xlfn.IFS(
    P49="Less than 1 hour", 1,
    P49="1-2 hours", 2,
    P49="2-4 hours", 3,
    P49="More than 4 hours", 4
)</f>
        <v>3</v>
      </c>
      <c r="R49" s="1" t="s">
        <v>34</v>
      </c>
      <c r="S49" s="1" cm="1">
        <f t="array" ref="S49">_xlfn.IFS(
    R49="Never", 1,
    R49="Rarely", 2,
    R49="Once a week", 3,
    R49="A few times a week", 4,
    R49="Daily", 5
)</f>
        <v>2</v>
      </c>
      <c r="T49" s="1" t="s">
        <v>35</v>
      </c>
      <c r="U49" s="1" t="s">
        <v>36</v>
      </c>
      <c r="V49" s="1" t="s">
        <v>37</v>
      </c>
      <c r="W49" s="1" t="s">
        <v>38</v>
      </c>
      <c r="X49" s="1" t="s">
        <v>39</v>
      </c>
      <c r="Y49" s="1" t="s">
        <v>46</v>
      </c>
    </row>
    <row r="50" spans="1:25" x14ac:dyDescent="0.3">
      <c r="A50" s="1" t="s">
        <v>127</v>
      </c>
      <c r="B50" s="1" t="s">
        <v>83</v>
      </c>
      <c r="C50" s="1" t="s">
        <v>117</v>
      </c>
      <c r="D50" s="1" t="s">
        <v>26</v>
      </c>
      <c r="E50" s="1" t="s">
        <v>27</v>
      </c>
      <c r="F50" s="1" t="s">
        <v>49</v>
      </c>
      <c r="G50" s="1" t="s">
        <v>44</v>
      </c>
      <c r="H50" s="1">
        <f t="shared" si="0"/>
        <v>5</v>
      </c>
      <c r="I50" s="1" t="s">
        <v>30</v>
      </c>
      <c r="J50" s="1" cm="1">
        <f t="array" ref="J50">_xlfn.SWITCH(I50,"No",0,"Not Sure",1,"Yes",2)</f>
        <v>2</v>
      </c>
      <c r="K50" s="1">
        <v>1</v>
      </c>
      <c r="L50" s="1" t="s">
        <v>30</v>
      </c>
      <c r="M50" s="1" cm="1">
        <f t="array" ref="M50">_xlfn.SWITCH(L50,"No",0,"Not Sure",1,"Yes",2)</f>
        <v>2</v>
      </c>
      <c r="N50" s="1" t="s">
        <v>54</v>
      </c>
      <c r="O50" s="1" cm="1">
        <f t="array" ref="O50">_xlfn.SWITCH(N50,"Less than 4 hours",3,"4 - 6 hours",5,"6 - 8 hours",7,"More than 8 hours",9)</f>
        <v>5</v>
      </c>
      <c r="P50" s="1" t="s">
        <v>59</v>
      </c>
      <c r="Q50" s="1" cm="1">
        <f t="array" ref="Q50">_xlfn.IFS(
    P50="Less than 1 hour", 1,
    P50="1-2 hours", 2,
    P50="2-4 hours", 3,
    P50="More than 4 hours", 4
)</f>
        <v>2</v>
      </c>
      <c r="R50" s="1" t="s">
        <v>44</v>
      </c>
      <c r="S50" s="1" cm="1">
        <f t="array" ref="S50">_xlfn.IFS(
    R50="Never", 1,
    R50="Rarely", 2,
    R50="Once a week", 3,
    R50="A few times a week", 4,
    R50="Daily", 5
)</f>
        <v>5</v>
      </c>
      <c r="T50" s="1" t="s">
        <v>60</v>
      </c>
      <c r="U50" s="1" t="s">
        <v>56</v>
      </c>
      <c r="V50" s="1" t="s">
        <v>51</v>
      </c>
      <c r="W50" s="1" t="s">
        <v>38</v>
      </c>
      <c r="X50" s="1" t="s">
        <v>52</v>
      </c>
      <c r="Y50" s="1" t="s">
        <v>40</v>
      </c>
    </row>
    <row r="51" spans="1:25" x14ac:dyDescent="0.3">
      <c r="A51" s="1" t="s">
        <v>128</v>
      </c>
      <c r="B51" s="1" t="s">
        <v>24</v>
      </c>
      <c r="C51" s="1" t="s">
        <v>120</v>
      </c>
      <c r="D51" s="1" t="s">
        <v>48</v>
      </c>
      <c r="E51" s="1" t="s">
        <v>27</v>
      </c>
      <c r="F51" s="1" t="s">
        <v>28</v>
      </c>
      <c r="G51" s="1" t="s">
        <v>44</v>
      </c>
      <c r="H51" s="1">
        <f t="shared" si="0"/>
        <v>5</v>
      </c>
      <c r="I51" s="1" t="s">
        <v>30</v>
      </c>
      <c r="J51" s="1" cm="1">
        <f t="array" ref="J51">_xlfn.SWITCH(I51,"No",0,"Not Sure",1,"Yes",2)</f>
        <v>2</v>
      </c>
      <c r="K51" s="1">
        <v>2</v>
      </c>
      <c r="L51" s="1" t="s">
        <v>30</v>
      </c>
      <c r="M51" s="1" cm="1">
        <f t="array" ref="M51">_xlfn.SWITCH(L51,"No",0,"Not Sure",1,"Yes",2)</f>
        <v>2</v>
      </c>
      <c r="N51" s="1" t="s">
        <v>54</v>
      </c>
      <c r="O51" s="1" cm="1">
        <f t="array" ref="O51">_xlfn.SWITCH(N51,"Less than 4 hours",3,"4 - 6 hours",5,"6 - 8 hours",7,"More than 8 hours",9)</f>
        <v>5</v>
      </c>
      <c r="P51" s="1" t="s">
        <v>59</v>
      </c>
      <c r="Q51" s="1" cm="1">
        <f t="array" ref="Q51">_xlfn.IFS(
    P51="Less than 1 hour", 1,
    P51="1-2 hours", 2,
    P51="2-4 hours", 3,
    P51="More than 4 hours", 4
)</f>
        <v>2</v>
      </c>
      <c r="R51" s="1" t="s">
        <v>29</v>
      </c>
      <c r="S51" s="1" cm="1">
        <f t="array" ref="S51">_xlfn.IFS(
    R51="Never", 1,
    R51="Rarely", 2,
    R51="Once a week", 3,
    R51="A few times a week", 4,
    R51="Daily", 5
)</f>
        <v>3</v>
      </c>
      <c r="T51" s="1" t="s">
        <v>60</v>
      </c>
      <c r="U51" s="1" t="s">
        <v>36</v>
      </c>
      <c r="V51" s="1" t="s">
        <v>37</v>
      </c>
      <c r="W51" s="1" t="s">
        <v>38</v>
      </c>
      <c r="X51" s="1" t="s">
        <v>39</v>
      </c>
      <c r="Y51" s="1" t="s">
        <v>46</v>
      </c>
    </row>
    <row r="52" spans="1:25" x14ac:dyDescent="0.3">
      <c r="A52" s="1" t="s">
        <v>129</v>
      </c>
      <c r="B52" s="1" t="s">
        <v>119</v>
      </c>
      <c r="C52" s="1" t="s">
        <v>122</v>
      </c>
      <c r="D52" s="1" t="s">
        <v>107</v>
      </c>
      <c r="E52" s="1" t="s">
        <v>58</v>
      </c>
      <c r="F52" s="1" t="s">
        <v>49</v>
      </c>
      <c r="G52" s="1" t="s">
        <v>34</v>
      </c>
      <c r="H52" s="1">
        <f t="shared" si="0"/>
        <v>2</v>
      </c>
      <c r="I52" s="1" t="s">
        <v>42</v>
      </c>
      <c r="J52" s="1" cm="1">
        <f t="array" ref="J52">_xlfn.SWITCH(I52,"No",0,"Not Sure",1,"Yes",2)</f>
        <v>0</v>
      </c>
      <c r="K52" s="1">
        <v>4</v>
      </c>
      <c r="L52" s="1" t="s">
        <v>42</v>
      </c>
      <c r="M52" s="1" cm="1">
        <f t="array" ref="M52">_xlfn.SWITCH(L52,"No",0,"Not Sure",1,"Yes",2)</f>
        <v>0</v>
      </c>
      <c r="N52" s="1" t="s">
        <v>32</v>
      </c>
      <c r="O52" s="1" cm="1">
        <f t="array" ref="O52">_xlfn.SWITCH(N52,"Less than 4 hours",3,"4 - 6 hours",5,"6 - 8 hours",7,"More than 8 hours",9)</f>
        <v>7</v>
      </c>
      <c r="P52" s="1" t="s">
        <v>43</v>
      </c>
      <c r="Q52" s="1" cm="1">
        <f t="array" ref="Q52">_xlfn.IFS(
    P52="Less than 1 hour", 1,
    P52="1-2 hours", 2,
    P52="2-4 hours", 3,
    P52="More than 4 hours", 4
)</f>
        <v>3</v>
      </c>
      <c r="R52" s="1" t="s">
        <v>44</v>
      </c>
      <c r="S52" s="1" cm="1">
        <f t="array" ref="S52">_xlfn.IFS(
    R52="Never", 1,
    R52="Rarely", 2,
    R52="Once a week", 3,
    R52="A few times a week", 4,
    R52="Daily", 5
)</f>
        <v>5</v>
      </c>
      <c r="T52" s="1" t="s">
        <v>35</v>
      </c>
      <c r="U52" s="1" t="s">
        <v>63</v>
      </c>
      <c r="V52" s="1" t="s">
        <v>37</v>
      </c>
      <c r="W52" s="1" t="s">
        <v>38</v>
      </c>
      <c r="X52" s="1" t="s">
        <v>87</v>
      </c>
      <c r="Y52" s="1" t="s">
        <v>52</v>
      </c>
    </row>
    <row r="53" spans="1:25" x14ac:dyDescent="0.3">
      <c r="A53" s="1" t="s">
        <v>130</v>
      </c>
      <c r="B53" s="1" t="s">
        <v>116</v>
      </c>
      <c r="C53" s="1" t="s">
        <v>125</v>
      </c>
      <c r="D53" s="1" t="s">
        <v>48</v>
      </c>
      <c r="E53" s="1" t="s">
        <v>27</v>
      </c>
      <c r="F53" s="1" t="s">
        <v>28</v>
      </c>
      <c r="G53" s="1" t="s">
        <v>69</v>
      </c>
      <c r="H53" s="1">
        <f t="shared" si="0"/>
        <v>4</v>
      </c>
      <c r="I53" s="1" t="s">
        <v>30</v>
      </c>
      <c r="J53" s="1" cm="1">
        <f t="array" ref="J53">_xlfn.SWITCH(I53,"No",0,"Not Sure",1,"Yes",2)</f>
        <v>2</v>
      </c>
      <c r="K53" s="1">
        <v>2</v>
      </c>
      <c r="L53" s="1" t="s">
        <v>30</v>
      </c>
      <c r="M53" s="1" cm="1">
        <f t="array" ref="M53">_xlfn.SWITCH(L53,"No",0,"Not Sure",1,"Yes",2)</f>
        <v>2</v>
      </c>
      <c r="N53" s="1" t="s">
        <v>54</v>
      </c>
      <c r="O53" s="1" cm="1">
        <f t="array" ref="O53">_xlfn.SWITCH(N53,"Less than 4 hours",3,"4 - 6 hours",5,"6 - 8 hours",7,"More than 8 hours",9)</f>
        <v>5</v>
      </c>
      <c r="P53" s="1" t="s">
        <v>33</v>
      </c>
      <c r="Q53" s="1" cm="1">
        <f t="array" ref="Q53">_xlfn.IFS(
    P53="Less than 1 hour", 1,
    P53="1-2 hours", 2,
    P53="2-4 hours", 3,
    P53="More than 4 hours", 4
)</f>
        <v>4</v>
      </c>
      <c r="R53" s="1" t="s">
        <v>34</v>
      </c>
      <c r="S53" s="1" cm="1">
        <f t="array" ref="S53">_xlfn.IFS(
    R53="Never", 1,
    R53="Rarely", 2,
    R53="Once a week", 3,
    R53="A few times a week", 4,
    R53="Daily", 5
)</f>
        <v>2</v>
      </c>
      <c r="T53" s="1" t="s">
        <v>35</v>
      </c>
      <c r="U53" s="1" t="s">
        <v>56</v>
      </c>
      <c r="V53" s="1" t="s">
        <v>51</v>
      </c>
      <c r="W53" s="1" t="s">
        <v>38</v>
      </c>
      <c r="X53" s="1" t="s">
        <v>39</v>
      </c>
      <c r="Y53" s="1" t="s">
        <v>40</v>
      </c>
    </row>
    <row r="54" spans="1:25" x14ac:dyDescent="0.3">
      <c r="A54" s="1" t="s">
        <v>131</v>
      </c>
      <c r="B54" s="1" t="s">
        <v>83</v>
      </c>
      <c r="C54" s="1" t="s">
        <v>25</v>
      </c>
      <c r="D54" s="1" t="s">
        <v>26</v>
      </c>
      <c r="E54" s="1" t="s">
        <v>27</v>
      </c>
      <c r="F54" s="1" t="s">
        <v>49</v>
      </c>
      <c r="G54" s="1" t="s">
        <v>44</v>
      </c>
      <c r="H54" s="1">
        <f t="shared" si="0"/>
        <v>5</v>
      </c>
      <c r="I54" s="1" t="s">
        <v>30</v>
      </c>
      <c r="J54" s="1" cm="1">
        <f t="array" ref="J54">_xlfn.SWITCH(I54,"No",0,"Not Sure",1,"Yes",2)</f>
        <v>2</v>
      </c>
      <c r="K54" s="1">
        <v>1</v>
      </c>
      <c r="L54" s="1" t="s">
        <v>30</v>
      </c>
      <c r="M54" s="1" cm="1">
        <f t="array" ref="M54">_xlfn.SWITCH(L54,"No",0,"Not Sure",1,"Yes",2)</f>
        <v>2</v>
      </c>
      <c r="N54" s="1" t="s">
        <v>54</v>
      </c>
      <c r="O54" s="1" cm="1">
        <f t="array" ref="O54">_xlfn.SWITCH(N54,"Less than 4 hours",3,"4 - 6 hours",5,"6 - 8 hours",7,"More than 8 hours",9)</f>
        <v>5</v>
      </c>
      <c r="P54" s="1" t="s">
        <v>59</v>
      </c>
      <c r="Q54" s="1" cm="1">
        <f t="array" ref="Q54">_xlfn.IFS(
    P54="Less than 1 hour", 1,
    P54="1-2 hours", 2,
    P54="2-4 hours", 3,
    P54="More than 4 hours", 4
)</f>
        <v>2</v>
      </c>
      <c r="R54" s="1" t="s">
        <v>44</v>
      </c>
      <c r="S54" s="1" cm="1">
        <f t="array" ref="S54">_xlfn.IFS(
    R54="Never", 1,
    R54="Rarely", 2,
    R54="Once a week", 3,
    R54="A few times a week", 4,
    R54="Daily", 5
)</f>
        <v>5</v>
      </c>
      <c r="T54" s="1" t="s">
        <v>60</v>
      </c>
      <c r="U54" s="1" t="s">
        <v>63</v>
      </c>
      <c r="V54" s="1" t="s">
        <v>72</v>
      </c>
      <c r="W54" s="1" t="s">
        <v>38</v>
      </c>
      <c r="X54" s="1" t="s">
        <v>52</v>
      </c>
      <c r="Y54" s="1" t="s">
        <v>46</v>
      </c>
    </row>
    <row r="55" spans="1:25" x14ac:dyDescent="0.3">
      <c r="A55" s="1" t="s">
        <v>132</v>
      </c>
      <c r="B55" s="1" t="s">
        <v>24</v>
      </c>
      <c r="C55" s="1" t="s">
        <v>117</v>
      </c>
      <c r="D55" s="1" t="s">
        <v>114</v>
      </c>
      <c r="E55" s="1" t="s">
        <v>58</v>
      </c>
      <c r="F55" s="1" t="s">
        <v>28</v>
      </c>
      <c r="G55" s="1" t="s">
        <v>29</v>
      </c>
      <c r="H55" s="1">
        <f t="shared" si="0"/>
        <v>3</v>
      </c>
      <c r="I55" s="1" t="s">
        <v>31</v>
      </c>
      <c r="J55" s="1" cm="1">
        <f t="array" ref="J55">_xlfn.SWITCH(I55,"No",0,"Not Sure",1,"Yes",2)</f>
        <v>1</v>
      </c>
      <c r="K55" s="1">
        <v>3</v>
      </c>
      <c r="L55" s="1" t="s">
        <v>42</v>
      </c>
      <c r="M55" s="1" cm="1">
        <f t="array" ref="M55">_xlfn.SWITCH(L55,"No",0,"Not Sure",1,"Yes",2)</f>
        <v>0</v>
      </c>
      <c r="N55" s="1" t="s">
        <v>32</v>
      </c>
      <c r="O55" s="1" cm="1">
        <f t="array" ref="O55">_xlfn.SWITCH(N55,"Less than 4 hours",3,"4 - 6 hours",5,"6 - 8 hours",7,"More than 8 hours",9)</f>
        <v>7</v>
      </c>
      <c r="P55" s="1" t="s">
        <v>43</v>
      </c>
      <c r="Q55" s="1" cm="1">
        <f t="array" ref="Q55">_xlfn.IFS(
    P55="Less than 1 hour", 1,
    P55="1-2 hours", 2,
    P55="2-4 hours", 3,
    P55="More than 4 hours", 4
)</f>
        <v>3</v>
      </c>
      <c r="R55" s="1" t="s">
        <v>34</v>
      </c>
      <c r="S55" s="1" cm="1">
        <f t="array" ref="S55">_xlfn.IFS(
    R55="Never", 1,
    R55="Rarely", 2,
    R55="Once a week", 3,
    R55="A few times a week", 4,
    R55="Daily", 5
)</f>
        <v>2</v>
      </c>
      <c r="T55" s="1" t="s">
        <v>35</v>
      </c>
      <c r="U55" s="1" t="s">
        <v>36</v>
      </c>
      <c r="V55" s="1" t="s">
        <v>65</v>
      </c>
      <c r="W55" s="1" t="s">
        <v>38</v>
      </c>
      <c r="X55" s="1" t="s">
        <v>39</v>
      </c>
      <c r="Y55" s="1" t="s">
        <v>46</v>
      </c>
    </row>
    <row r="56" spans="1:25" x14ac:dyDescent="0.3">
      <c r="A56" s="1" t="s">
        <v>133</v>
      </c>
      <c r="B56" s="1" t="s">
        <v>119</v>
      </c>
      <c r="C56" s="1" t="s">
        <v>120</v>
      </c>
      <c r="D56" s="1" t="s">
        <v>107</v>
      </c>
      <c r="E56" s="1" t="s">
        <v>27</v>
      </c>
      <c r="F56" s="1" t="s">
        <v>49</v>
      </c>
      <c r="G56" s="1" t="s">
        <v>44</v>
      </c>
      <c r="H56" s="1">
        <f t="shared" si="0"/>
        <v>5</v>
      </c>
      <c r="I56" s="1" t="s">
        <v>30</v>
      </c>
      <c r="J56" s="1" cm="1">
        <f t="array" ref="J56">_xlfn.SWITCH(I56,"No",0,"Not Sure",1,"Yes",2)</f>
        <v>2</v>
      </c>
      <c r="K56" s="1">
        <v>2</v>
      </c>
      <c r="L56" s="1" t="s">
        <v>30</v>
      </c>
      <c r="M56" s="1" cm="1">
        <f t="array" ref="M56">_xlfn.SWITCH(L56,"No",0,"Not Sure",1,"Yes",2)</f>
        <v>2</v>
      </c>
      <c r="N56" s="1" t="s">
        <v>54</v>
      </c>
      <c r="O56" s="1" cm="1">
        <f t="array" ref="O56">_xlfn.SWITCH(N56,"Less than 4 hours",3,"4 - 6 hours",5,"6 - 8 hours",7,"More than 8 hours",9)</f>
        <v>5</v>
      </c>
      <c r="P56" s="1" t="s">
        <v>59</v>
      </c>
      <c r="Q56" s="1" cm="1">
        <f t="array" ref="Q56">_xlfn.IFS(
    P56="Less than 1 hour", 1,
    P56="1-2 hours", 2,
    P56="2-4 hours", 3,
    P56="More than 4 hours", 4
)</f>
        <v>2</v>
      </c>
      <c r="R56" s="1" t="s">
        <v>29</v>
      </c>
      <c r="S56" s="1" cm="1">
        <f t="array" ref="S56">_xlfn.IFS(
    R56="Never", 1,
    R56="Rarely", 2,
    R56="Once a week", 3,
    R56="A few times a week", 4,
    R56="Daily", 5
)</f>
        <v>3</v>
      </c>
      <c r="T56" s="1" t="s">
        <v>60</v>
      </c>
      <c r="U56" s="1" t="s">
        <v>56</v>
      </c>
      <c r="V56" s="1" t="s">
        <v>37</v>
      </c>
      <c r="W56" s="1" t="s">
        <v>38</v>
      </c>
      <c r="X56" s="1" t="s">
        <v>52</v>
      </c>
      <c r="Y56" s="1" t="s">
        <v>40</v>
      </c>
    </row>
    <row r="57" spans="1:25" x14ac:dyDescent="0.3">
      <c r="A57" s="1" t="s">
        <v>134</v>
      </c>
      <c r="B57" s="1" t="s">
        <v>116</v>
      </c>
      <c r="C57" s="1" t="s">
        <v>122</v>
      </c>
      <c r="D57" s="1" t="s">
        <v>48</v>
      </c>
      <c r="E57" s="1" t="s">
        <v>27</v>
      </c>
      <c r="F57" s="1" t="s">
        <v>28</v>
      </c>
      <c r="G57" s="1" t="s">
        <v>69</v>
      </c>
      <c r="H57" s="1">
        <f t="shared" si="0"/>
        <v>4</v>
      </c>
      <c r="I57" s="1" t="s">
        <v>42</v>
      </c>
      <c r="J57" s="1" cm="1">
        <f t="array" ref="J57">_xlfn.SWITCH(I57,"No",0,"Not Sure",1,"Yes",2)</f>
        <v>0</v>
      </c>
      <c r="K57" s="1">
        <v>4</v>
      </c>
      <c r="L57" s="1" t="s">
        <v>42</v>
      </c>
      <c r="M57" s="1" cm="1">
        <f t="array" ref="M57">_xlfn.SWITCH(L57,"No",0,"Not Sure",1,"Yes",2)</f>
        <v>0</v>
      </c>
      <c r="N57" s="1" t="s">
        <v>32</v>
      </c>
      <c r="O57" s="1" cm="1">
        <f t="array" ref="O57">_xlfn.SWITCH(N57,"Less than 4 hours",3,"4 - 6 hours",5,"6 - 8 hours",7,"More than 8 hours",9)</f>
        <v>7</v>
      </c>
      <c r="P57" s="1" t="s">
        <v>43</v>
      </c>
      <c r="Q57" s="1" cm="1">
        <f t="array" ref="Q57">_xlfn.IFS(
    P57="Less than 1 hour", 1,
    P57="1-2 hours", 2,
    P57="2-4 hours", 3,
    P57="More than 4 hours", 4
)</f>
        <v>3</v>
      </c>
      <c r="R57" s="1" t="s">
        <v>44</v>
      </c>
      <c r="S57" s="1" cm="1">
        <f t="array" ref="S57">_xlfn.IFS(
    R57="Never", 1,
    R57="Rarely", 2,
    R57="Once a week", 3,
    R57="A few times a week", 4,
    R57="Daily", 5
)</f>
        <v>5</v>
      </c>
      <c r="T57" s="1" t="s">
        <v>35</v>
      </c>
      <c r="U57" s="1" t="s">
        <v>63</v>
      </c>
      <c r="V57" s="1" t="s">
        <v>94</v>
      </c>
      <c r="W57" s="1" t="s">
        <v>38</v>
      </c>
      <c r="X57" s="1" t="s">
        <v>87</v>
      </c>
      <c r="Y57" s="1" t="s">
        <v>87</v>
      </c>
    </row>
    <row r="58" spans="1:25" x14ac:dyDescent="0.3">
      <c r="A58" s="1" t="s">
        <v>135</v>
      </c>
      <c r="B58" s="1" t="s">
        <v>83</v>
      </c>
      <c r="C58" s="1" t="s">
        <v>125</v>
      </c>
      <c r="D58" s="1" t="s">
        <v>107</v>
      </c>
      <c r="E58" s="1" t="s">
        <v>58</v>
      </c>
      <c r="F58" s="1" t="s">
        <v>49</v>
      </c>
      <c r="G58" s="1" t="s">
        <v>34</v>
      </c>
      <c r="H58" s="1">
        <f t="shared" si="0"/>
        <v>2</v>
      </c>
      <c r="I58" s="1" t="s">
        <v>30</v>
      </c>
      <c r="J58" s="1" cm="1">
        <f t="array" ref="J58">_xlfn.SWITCH(I58,"No",0,"Not Sure",1,"Yes",2)</f>
        <v>2</v>
      </c>
      <c r="K58" s="1">
        <v>3</v>
      </c>
      <c r="L58" s="1" t="s">
        <v>30</v>
      </c>
      <c r="M58" s="1" cm="1">
        <f t="array" ref="M58">_xlfn.SWITCH(L58,"No",0,"Not Sure",1,"Yes",2)</f>
        <v>2</v>
      </c>
      <c r="N58" s="1" t="s">
        <v>54</v>
      </c>
      <c r="O58" s="1" cm="1">
        <f t="array" ref="O58">_xlfn.SWITCH(N58,"Less than 4 hours",3,"4 - 6 hours",5,"6 - 8 hours",7,"More than 8 hours",9)</f>
        <v>5</v>
      </c>
      <c r="P58" s="1" t="s">
        <v>59</v>
      </c>
      <c r="Q58" s="1" cm="1">
        <f t="array" ref="Q58">_xlfn.IFS(
    P58="Less than 1 hour", 1,
    P58="1-2 hours", 2,
    P58="2-4 hours", 3,
    P58="More than 4 hours", 4
)</f>
        <v>2</v>
      </c>
      <c r="R58" s="1" t="s">
        <v>34</v>
      </c>
      <c r="S58" s="1" cm="1">
        <f t="array" ref="S58">_xlfn.IFS(
    R58="Never", 1,
    R58="Rarely", 2,
    R58="Once a week", 3,
    R58="A few times a week", 4,
    R58="Daily", 5
)</f>
        <v>2</v>
      </c>
      <c r="T58" s="1" t="s">
        <v>60</v>
      </c>
      <c r="U58" s="1" t="s">
        <v>36</v>
      </c>
      <c r="V58" s="1" t="s">
        <v>51</v>
      </c>
      <c r="W58" s="1" t="s">
        <v>38</v>
      </c>
      <c r="X58" s="1" t="s">
        <v>136</v>
      </c>
      <c r="Y58" s="1" t="s">
        <v>46</v>
      </c>
    </row>
    <row r="59" spans="1:25" x14ac:dyDescent="0.3">
      <c r="A59" s="1" t="s">
        <v>137</v>
      </c>
      <c r="B59" s="1" t="s">
        <v>24</v>
      </c>
      <c r="C59" s="1" t="s">
        <v>84</v>
      </c>
      <c r="D59" s="1" t="s">
        <v>26</v>
      </c>
      <c r="E59" s="1" t="s">
        <v>27</v>
      </c>
      <c r="F59" s="1" t="s">
        <v>28</v>
      </c>
      <c r="G59" s="1" t="s">
        <v>44</v>
      </c>
      <c r="H59" s="1">
        <f t="shared" si="0"/>
        <v>5</v>
      </c>
      <c r="I59" s="1" t="s">
        <v>30</v>
      </c>
      <c r="J59" s="1" cm="1">
        <f t="array" ref="J59">_xlfn.SWITCH(I59,"No",0,"Not Sure",1,"Yes",2)</f>
        <v>2</v>
      </c>
      <c r="K59" s="1">
        <v>2</v>
      </c>
      <c r="L59" s="1" t="s">
        <v>30</v>
      </c>
      <c r="M59" s="1" cm="1">
        <f t="array" ref="M59">_xlfn.SWITCH(L59,"No",0,"Not Sure",1,"Yes",2)</f>
        <v>2</v>
      </c>
      <c r="N59" s="1" t="s">
        <v>32</v>
      </c>
      <c r="O59" s="1" cm="1">
        <f t="array" ref="O59">_xlfn.SWITCH(N59,"Less than 4 hours",3,"4 - 6 hours",5,"6 - 8 hours",7,"More than 8 hours",9)</f>
        <v>7</v>
      </c>
      <c r="P59" s="1" t="s">
        <v>43</v>
      </c>
      <c r="Q59" s="1" cm="1">
        <f t="array" ref="Q59">_xlfn.IFS(
    P59="Less than 1 hour", 1,
    P59="1-2 hours", 2,
    P59="2-4 hours", 3,
    P59="More than 4 hours", 4
)</f>
        <v>3</v>
      </c>
      <c r="R59" s="1" t="s">
        <v>29</v>
      </c>
      <c r="S59" s="1" cm="1">
        <f t="array" ref="S59">_xlfn.IFS(
    R59="Never", 1,
    R59="Rarely", 2,
    R59="Once a week", 3,
    R59="A few times a week", 4,
    R59="Daily", 5
)</f>
        <v>3</v>
      </c>
      <c r="T59" s="1" t="s">
        <v>35</v>
      </c>
      <c r="U59" s="1" t="s">
        <v>138</v>
      </c>
      <c r="V59" s="1" t="s">
        <v>37</v>
      </c>
      <c r="W59" s="1" t="s">
        <v>38</v>
      </c>
      <c r="X59" s="1" t="s">
        <v>52</v>
      </c>
      <c r="Y59" s="1" t="s">
        <v>87</v>
      </c>
    </row>
    <row r="60" spans="1:25" x14ac:dyDescent="0.3">
      <c r="A60" s="1" t="s">
        <v>139</v>
      </c>
      <c r="B60" s="1" t="s">
        <v>119</v>
      </c>
      <c r="C60" s="1" t="s">
        <v>25</v>
      </c>
      <c r="D60" s="1" t="s">
        <v>48</v>
      </c>
      <c r="E60" s="1" t="s">
        <v>58</v>
      </c>
      <c r="F60" s="1" t="s">
        <v>49</v>
      </c>
      <c r="G60" s="1" t="s">
        <v>29</v>
      </c>
      <c r="H60" s="1">
        <f t="shared" si="0"/>
        <v>3</v>
      </c>
      <c r="I60" s="1" t="s">
        <v>42</v>
      </c>
      <c r="J60" s="1" cm="1">
        <f t="array" ref="J60">_xlfn.SWITCH(I60,"No",0,"Not Sure",1,"Yes",2)</f>
        <v>0</v>
      </c>
      <c r="K60" s="1">
        <v>5</v>
      </c>
      <c r="L60" s="1" t="s">
        <v>42</v>
      </c>
      <c r="M60" s="1" cm="1">
        <f t="array" ref="M60">_xlfn.SWITCH(L60,"No",0,"Not Sure",1,"Yes",2)</f>
        <v>0</v>
      </c>
      <c r="N60" s="1" t="s">
        <v>32</v>
      </c>
      <c r="O60" s="1" cm="1">
        <f t="array" ref="O60">_xlfn.SWITCH(N60,"Less than 4 hours",3,"4 - 6 hours",5,"6 - 8 hours",7,"More than 8 hours",9)</f>
        <v>7</v>
      </c>
      <c r="P60" s="1" t="s">
        <v>43</v>
      </c>
      <c r="Q60" s="1" cm="1">
        <f t="array" ref="Q60">_xlfn.IFS(
    P60="Less than 1 hour", 1,
    P60="1-2 hours", 2,
    P60="2-4 hours", 3,
    P60="More than 4 hours", 4
)</f>
        <v>3</v>
      </c>
      <c r="R60" s="1" t="s">
        <v>44</v>
      </c>
      <c r="S60" s="1" cm="1">
        <f t="array" ref="S60">_xlfn.IFS(
    R60="Never", 1,
    R60="Rarely", 2,
    R60="Once a week", 3,
    R60="A few times a week", 4,
    R60="Daily", 5
)</f>
        <v>5</v>
      </c>
      <c r="T60" s="1" t="s">
        <v>55</v>
      </c>
      <c r="U60" s="1" t="s">
        <v>36</v>
      </c>
      <c r="V60" s="1" t="s">
        <v>51</v>
      </c>
      <c r="W60" s="1" t="s">
        <v>38</v>
      </c>
      <c r="X60" s="1" t="s">
        <v>140</v>
      </c>
      <c r="Y60" s="1" t="s">
        <v>141</v>
      </c>
    </row>
    <row r="61" spans="1:25" x14ac:dyDescent="0.3">
      <c r="A61" s="1" t="s">
        <v>142</v>
      </c>
      <c r="B61" s="1" t="s">
        <v>116</v>
      </c>
      <c r="C61" s="1" t="s">
        <v>117</v>
      </c>
      <c r="D61" s="1" t="s">
        <v>107</v>
      </c>
      <c r="E61" s="1" t="s">
        <v>27</v>
      </c>
      <c r="F61" s="1" t="s">
        <v>28</v>
      </c>
      <c r="G61" s="1" t="s">
        <v>34</v>
      </c>
      <c r="H61" s="1">
        <f t="shared" si="0"/>
        <v>2</v>
      </c>
      <c r="I61" s="1" t="s">
        <v>31</v>
      </c>
      <c r="J61" s="1" cm="1">
        <f t="array" ref="J61">_xlfn.SWITCH(I61,"No",0,"Not Sure",1,"Yes",2)</f>
        <v>1</v>
      </c>
      <c r="K61" s="1">
        <v>3</v>
      </c>
      <c r="L61" s="1" t="s">
        <v>30</v>
      </c>
      <c r="M61" s="1" cm="1">
        <f t="array" ref="M61">_xlfn.SWITCH(L61,"No",0,"Not Sure",1,"Yes",2)</f>
        <v>2</v>
      </c>
      <c r="N61" s="1" t="s">
        <v>54</v>
      </c>
      <c r="O61" s="1" cm="1">
        <f t="array" ref="O61">_xlfn.SWITCH(N61,"Less than 4 hours",3,"4 - 6 hours",5,"6 - 8 hours",7,"More than 8 hours",9)</f>
        <v>5</v>
      </c>
      <c r="P61" s="1" t="s">
        <v>59</v>
      </c>
      <c r="Q61" s="1" cm="1">
        <f t="array" ref="Q61">_xlfn.IFS(
    P61="Less than 1 hour", 1,
    P61="1-2 hours", 2,
    P61="2-4 hours", 3,
    P61="More than 4 hours", 4
)</f>
        <v>2</v>
      </c>
      <c r="R61" s="1" t="s">
        <v>29</v>
      </c>
      <c r="S61" s="1" cm="1">
        <f t="array" ref="S61">_xlfn.IFS(
    R61="Never", 1,
    R61="Rarely", 2,
    R61="Once a week", 3,
    R61="A few times a week", 4,
    R61="Daily", 5
)</f>
        <v>3</v>
      </c>
      <c r="T61" s="1" t="s">
        <v>35</v>
      </c>
      <c r="U61" s="1" t="s">
        <v>63</v>
      </c>
      <c r="V61" s="1" t="s">
        <v>65</v>
      </c>
      <c r="W61" s="1" t="s">
        <v>38</v>
      </c>
      <c r="X61" s="1" t="s">
        <v>136</v>
      </c>
      <c r="Y61" s="1" t="s">
        <v>87</v>
      </c>
    </row>
    <row r="62" spans="1:25" x14ac:dyDescent="0.3">
      <c r="A62" s="1" t="s">
        <v>143</v>
      </c>
      <c r="B62" s="1" t="s">
        <v>83</v>
      </c>
      <c r="C62" s="1" t="s">
        <v>120</v>
      </c>
      <c r="D62" s="1" t="s">
        <v>26</v>
      </c>
      <c r="E62" s="1" t="s">
        <v>101</v>
      </c>
      <c r="F62" s="1" t="s">
        <v>49</v>
      </c>
      <c r="G62" s="1" t="s">
        <v>44</v>
      </c>
      <c r="H62" s="1">
        <f t="shared" si="0"/>
        <v>5</v>
      </c>
      <c r="I62" s="1" t="s">
        <v>30</v>
      </c>
      <c r="J62" s="1" cm="1">
        <f t="array" ref="J62">_xlfn.SWITCH(I62,"No",0,"Not Sure",1,"Yes",2)</f>
        <v>2</v>
      </c>
      <c r="K62" s="1">
        <v>1</v>
      </c>
      <c r="L62" s="1" t="s">
        <v>30</v>
      </c>
      <c r="M62" s="1" cm="1">
        <f t="array" ref="M62">_xlfn.SWITCH(L62,"No",0,"Not Sure",1,"Yes",2)</f>
        <v>2</v>
      </c>
      <c r="N62" s="1" t="s">
        <v>54</v>
      </c>
      <c r="O62" s="1" cm="1">
        <f t="array" ref="O62">_xlfn.SWITCH(N62,"Less than 4 hours",3,"4 - 6 hours",5,"6 - 8 hours",7,"More than 8 hours",9)</f>
        <v>5</v>
      </c>
      <c r="P62" s="1" t="s">
        <v>59</v>
      </c>
      <c r="Q62" s="1" cm="1">
        <f t="array" ref="Q62">_xlfn.IFS(
    P62="Less than 1 hour", 1,
    P62="1-2 hours", 2,
    P62="2-4 hours", 3,
    P62="More than 4 hours", 4
)</f>
        <v>2</v>
      </c>
      <c r="R62" s="1" t="s">
        <v>34</v>
      </c>
      <c r="S62" s="1" cm="1">
        <f t="array" ref="S62">_xlfn.IFS(
    R62="Never", 1,
    R62="Rarely", 2,
    R62="Once a week", 3,
    R62="A few times a week", 4,
    R62="Daily", 5
)</f>
        <v>2</v>
      </c>
      <c r="T62" s="1" t="s">
        <v>60</v>
      </c>
      <c r="U62" s="1" t="s">
        <v>56</v>
      </c>
      <c r="V62" s="1" t="s">
        <v>37</v>
      </c>
      <c r="W62" s="1" t="s">
        <v>38</v>
      </c>
      <c r="X62" s="1" t="s">
        <v>140</v>
      </c>
      <c r="Y62" s="1" t="s">
        <v>46</v>
      </c>
    </row>
    <row r="63" spans="1:25" x14ac:dyDescent="0.3">
      <c r="A63" s="1" t="s">
        <v>144</v>
      </c>
      <c r="B63" s="1" t="s">
        <v>24</v>
      </c>
      <c r="C63" s="1" t="s">
        <v>122</v>
      </c>
      <c r="D63" s="1" t="s">
        <v>114</v>
      </c>
      <c r="E63" s="1" t="s">
        <v>58</v>
      </c>
      <c r="F63" s="1" t="s">
        <v>28</v>
      </c>
      <c r="G63" s="1" t="s">
        <v>69</v>
      </c>
      <c r="H63" s="1">
        <f t="shared" si="0"/>
        <v>4</v>
      </c>
      <c r="I63" s="1" t="s">
        <v>30</v>
      </c>
      <c r="J63" s="1" cm="1">
        <f t="array" ref="J63">_xlfn.SWITCH(I63,"No",0,"Not Sure",1,"Yes",2)</f>
        <v>2</v>
      </c>
      <c r="K63" s="1">
        <v>2</v>
      </c>
      <c r="L63" s="1" t="s">
        <v>30</v>
      </c>
      <c r="M63" s="1" cm="1">
        <f t="array" ref="M63">_xlfn.SWITCH(L63,"No",0,"Not Sure",1,"Yes",2)</f>
        <v>2</v>
      </c>
      <c r="N63" s="1" t="s">
        <v>32</v>
      </c>
      <c r="O63" s="1" cm="1">
        <f t="array" ref="O63">_xlfn.SWITCH(N63,"Less than 4 hours",3,"4 - 6 hours",5,"6 - 8 hours",7,"More than 8 hours",9)</f>
        <v>7</v>
      </c>
      <c r="P63" s="1" t="s">
        <v>43</v>
      </c>
      <c r="Q63" s="1" cm="1">
        <f t="array" ref="Q63">_xlfn.IFS(
    P63="Less than 1 hour", 1,
    P63="1-2 hours", 2,
    P63="2-4 hours", 3,
    P63="More than 4 hours", 4
)</f>
        <v>3</v>
      </c>
      <c r="R63" s="1" t="s">
        <v>44</v>
      </c>
      <c r="S63" s="1" cm="1">
        <f t="array" ref="S63">_xlfn.IFS(
    R63="Never", 1,
    R63="Rarely", 2,
    R63="Once a week", 3,
    R63="A few times a week", 4,
    R63="Daily", 5
)</f>
        <v>5</v>
      </c>
      <c r="T63" s="1" t="s">
        <v>35</v>
      </c>
      <c r="U63" s="1" t="s">
        <v>36</v>
      </c>
      <c r="V63" s="1" t="s">
        <v>94</v>
      </c>
      <c r="W63" s="1" t="s">
        <v>38</v>
      </c>
      <c r="X63" s="1" t="s">
        <v>52</v>
      </c>
      <c r="Y63" s="1" t="s">
        <v>141</v>
      </c>
    </row>
    <row r="64" spans="1:25" x14ac:dyDescent="0.3">
      <c r="A64" s="1" t="s">
        <v>145</v>
      </c>
      <c r="B64" s="1" t="s">
        <v>119</v>
      </c>
      <c r="C64" s="1" t="s">
        <v>125</v>
      </c>
      <c r="D64" s="1" t="s">
        <v>48</v>
      </c>
      <c r="E64" s="1" t="s">
        <v>27</v>
      </c>
      <c r="F64" s="1" t="s">
        <v>49</v>
      </c>
      <c r="G64" s="1" t="s">
        <v>29</v>
      </c>
      <c r="H64" s="1">
        <f t="shared" si="0"/>
        <v>3</v>
      </c>
      <c r="I64" s="1" t="s">
        <v>42</v>
      </c>
      <c r="J64" s="1" cm="1">
        <f t="array" ref="J64">_xlfn.SWITCH(I64,"No",0,"Not Sure",1,"Yes",2)</f>
        <v>0</v>
      </c>
      <c r="K64" s="1">
        <v>4</v>
      </c>
      <c r="L64" s="1" t="s">
        <v>42</v>
      </c>
      <c r="M64" s="1" cm="1">
        <f t="array" ref="M64">_xlfn.SWITCH(L64,"No",0,"Not Sure",1,"Yes",2)</f>
        <v>0</v>
      </c>
      <c r="N64" s="1" t="s">
        <v>32</v>
      </c>
      <c r="O64" s="1" cm="1">
        <f t="array" ref="O64">_xlfn.SWITCH(N64,"Less than 4 hours",3,"4 - 6 hours",5,"6 - 8 hours",7,"More than 8 hours",9)</f>
        <v>7</v>
      </c>
      <c r="P64" s="1" t="s">
        <v>43</v>
      </c>
      <c r="Q64" s="1" cm="1">
        <f t="array" ref="Q64">_xlfn.IFS(
    P64="Less than 1 hour", 1,
    P64="1-2 hours", 2,
    P64="2-4 hours", 3,
    P64="More than 4 hours", 4
)</f>
        <v>3</v>
      </c>
      <c r="R64" s="1" t="s">
        <v>29</v>
      </c>
      <c r="S64" s="1" cm="1">
        <f t="array" ref="S64">_xlfn.IFS(
    R64="Never", 1,
    R64="Rarely", 2,
    R64="Once a week", 3,
    R64="A few times a week", 4,
    R64="Daily", 5
)</f>
        <v>3</v>
      </c>
      <c r="T64" s="1" t="s">
        <v>146</v>
      </c>
      <c r="U64" s="1" t="s">
        <v>63</v>
      </c>
      <c r="V64" s="1" t="s">
        <v>45</v>
      </c>
      <c r="W64" s="1" t="s">
        <v>38</v>
      </c>
      <c r="X64" s="1" t="s">
        <v>140</v>
      </c>
      <c r="Y64" s="1" t="s">
        <v>87</v>
      </c>
    </row>
    <row r="65" spans="1:25" x14ac:dyDescent="0.3">
      <c r="A65" s="1" t="s">
        <v>147</v>
      </c>
      <c r="B65" s="1" t="s">
        <v>116</v>
      </c>
      <c r="C65" s="1" t="s">
        <v>84</v>
      </c>
      <c r="D65" s="1" t="s">
        <v>107</v>
      </c>
      <c r="E65" s="1" t="s">
        <v>27</v>
      </c>
      <c r="F65" s="1" t="s">
        <v>28</v>
      </c>
      <c r="G65" s="1" t="s">
        <v>34</v>
      </c>
      <c r="H65" s="1">
        <f t="shared" si="0"/>
        <v>2</v>
      </c>
      <c r="I65" s="1" t="s">
        <v>30</v>
      </c>
      <c r="J65" s="1" cm="1">
        <f t="array" ref="J65">_xlfn.SWITCH(I65,"No",0,"Not Sure",1,"Yes",2)</f>
        <v>2</v>
      </c>
      <c r="K65" s="1">
        <v>5</v>
      </c>
      <c r="L65" s="1" t="s">
        <v>30</v>
      </c>
      <c r="M65" s="1" cm="1">
        <f t="array" ref="M65">_xlfn.SWITCH(L65,"No",0,"Not Sure",1,"Yes",2)</f>
        <v>2</v>
      </c>
      <c r="N65" s="1" t="s">
        <v>32</v>
      </c>
      <c r="O65" s="1" cm="1">
        <f t="array" ref="O65">_xlfn.SWITCH(N65,"Less than 4 hours",3,"4 - 6 hours",5,"6 - 8 hours",7,"More than 8 hours",9)</f>
        <v>7</v>
      </c>
      <c r="P65" s="1" t="s">
        <v>59</v>
      </c>
      <c r="Q65" s="1" cm="1">
        <f t="array" ref="Q65">_xlfn.IFS(
    P65="Less than 1 hour", 1,
    P65="1-2 hours", 2,
    P65="2-4 hours", 3,
    P65="More than 4 hours", 4
)</f>
        <v>2</v>
      </c>
      <c r="R65" s="1" t="s">
        <v>34</v>
      </c>
      <c r="S65" s="1" cm="1">
        <f t="array" ref="S65">_xlfn.IFS(
    R65="Never", 1,
    R65="Rarely", 2,
    R65="Once a week", 3,
    R65="A few times a week", 4,
    R65="Daily", 5
)</f>
        <v>2</v>
      </c>
      <c r="T65" s="1" t="s">
        <v>55</v>
      </c>
      <c r="U65" s="1" t="s">
        <v>36</v>
      </c>
      <c r="V65" s="1" t="s">
        <v>37</v>
      </c>
      <c r="W65" s="1" t="s">
        <v>38</v>
      </c>
      <c r="X65" s="1" t="s">
        <v>52</v>
      </c>
      <c r="Y65" s="1" t="s">
        <v>141</v>
      </c>
    </row>
    <row r="66" spans="1:25" x14ac:dyDescent="0.3">
      <c r="A66" s="1" t="s">
        <v>148</v>
      </c>
      <c r="B66" s="1" t="s">
        <v>83</v>
      </c>
      <c r="C66" s="1" t="s">
        <v>25</v>
      </c>
      <c r="D66" s="1" t="s">
        <v>26</v>
      </c>
      <c r="E66" s="1" t="s">
        <v>101</v>
      </c>
      <c r="F66" s="1" t="s">
        <v>49</v>
      </c>
      <c r="G66" s="1" t="s">
        <v>44</v>
      </c>
      <c r="H66" s="1">
        <f t="shared" si="0"/>
        <v>5</v>
      </c>
      <c r="I66" s="1" t="s">
        <v>30</v>
      </c>
      <c r="J66" s="1" cm="1">
        <f t="array" ref="J66">_xlfn.SWITCH(I66,"No",0,"Not Sure",1,"Yes",2)</f>
        <v>2</v>
      </c>
      <c r="K66" s="1">
        <v>1</v>
      </c>
      <c r="L66" s="1" t="s">
        <v>30</v>
      </c>
      <c r="M66" s="1" cm="1">
        <f t="array" ref="M66">_xlfn.SWITCH(L66,"No",0,"Not Sure",1,"Yes",2)</f>
        <v>2</v>
      </c>
      <c r="N66" s="1" t="s">
        <v>54</v>
      </c>
      <c r="O66" s="1" cm="1">
        <f t="array" ref="O66">_xlfn.SWITCH(N66,"Less than 4 hours",3,"4 - 6 hours",5,"6 - 8 hours",7,"More than 8 hours",9)</f>
        <v>5</v>
      </c>
      <c r="P66" s="1" t="s">
        <v>43</v>
      </c>
      <c r="Q66" s="1" cm="1">
        <f t="array" ref="Q66">_xlfn.IFS(
    P66="Less than 1 hour", 1,
    P66="1-2 hours", 2,
    P66="2-4 hours", 3,
    P66="More than 4 hours", 4
)</f>
        <v>3</v>
      </c>
      <c r="R66" s="1" t="s">
        <v>44</v>
      </c>
      <c r="S66" s="1" cm="1">
        <f t="array" ref="S66">_xlfn.IFS(
    R66="Never", 1,
    R66="Rarely", 2,
    R66="Once a week", 3,
    R66="A few times a week", 4,
    R66="Daily", 5
)</f>
        <v>5</v>
      </c>
      <c r="T66" s="1" t="s">
        <v>60</v>
      </c>
      <c r="U66" s="1" t="s">
        <v>56</v>
      </c>
      <c r="V66" s="1" t="s">
        <v>72</v>
      </c>
      <c r="W66" s="1" t="s">
        <v>38</v>
      </c>
      <c r="X66" s="1" t="s">
        <v>140</v>
      </c>
      <c r="Y66" s="1" t="s">
        <v>46</v>
      </c>
    </row>
    <row r="67" spans="1:25" x14ac:dyDescent="0.3">
      <c r="A67" s="1" t="s">
        <v>149</v>
      </c>
      <c r="B67" s="1" t="s">
        <v>24</v>
      </c>
      <c r="C67" s="1" t="s">
        <v>117</v>
      </c>
      <c r="D67" s="1" t="s">
        <v>114</v>
      </c>
      <c r="E67" s="1" t="s">
        <v>58</v>
      </c>
      <c r="F67" s="1" t="s">
        <v>28</v>
      </c>
      <c r="G67" s="1" t="s">
        <v>69</v>
      </c>
      <c r="H67" s="1">
        <f t="shared" ref="H67:H124" si="1">IF(G67="Never",1,
 IF(G67="Rarely",2,
 IF(G67="Once a week",3,
 IF(G67="Several times a week",4,
 IF(G67="Daily",5,"")))))</f>
        <v>4</v>
      </c>
      <c r="I67" s="1" t="s">
        <v>42</v>
      </c>
      <c r="J67" s="1" cm="1">
        <f t="array" ref="J67">_xlfn.SWITCH(I67,"No",0,"Not Sure",1,"Yes",2)</f>
        <v>0</v>
      </c>
      <c r="K67" s="1">
        <v>3</v>
      </c>
      <c r="L67" s="1" t="s">
        <v>42</v>
      </c>
      <c r="M67" s="1" cm="1">
        <f t="array" ref="M67">_xlfn.SWITCH(L67,"No",0,"Not Sure",1,"Yes",2)</f>
        <v>0</v>
      </c>
      <c r="N67" s="1" t="s">
        <v>32</v>
      </c>
      <c r="O67" s="1" cm="1">
        <f t="array" ref="O67">_xlfn.SWITCH(N67,"Less than 4 hours",3,"4 - 6 hours",5,"6 - 8 hours",7,"More than 8 hours",9)</f>
        <v>7</v>
      </c>
      <c r="P67" s="1" t="s">
        <v>43</v>
      </c>
      <c r="Q67" s="1" cm="1">
        <f t="array" ref="Q67">_xlfn.IFS(
    P67="Less than 1 hour", 1,
    P67="1-2 hours", 2,
    P67="2-4 hours", 3,
    P67="More than 4 hours", 4
)</f>
        <v>3</v>
      </c>
      <c r="R67" s="1" t="s">
        <v>80</v>
      </c>
      <c r="S67" s="1" cm="1">
        <f t="array" ref="S67">_xlfn.IFS(
    R67="Never", 1,
    R67="Rarely", 2,
    R67="Once a week", 3,
    R67="A few times a week", 4,
    R67="Daily", 5
)</f>
        <v>4</v>
      </c>
      <c r="T67" s="1" t="s">
        <v>35</v>
      </c>
      <c r="U67" s="1" t="s">
        <v>138</v>
      </c>
      <c r="V67" s="1" t="s">
        <v>51</v>
      </c>
      <c r="W67" s="1" t="s">
        <v>38</v>
      </c>
      <c r="X67" s="1" t="s">
        <v>136</v>
      </c>
      <c r="Y67" s="1" t="s">
        <v>87</v>
      </c>
    </row>
    <row r="68" spans="1:25" x14ac:dyDescent="0.3">
      <c r="A68" s="1" t="s">
        <v>150</v>
      </c>
      <c r="B68" s="1" t="s">
        <v>119</v>
      </c>
      <c r="C68" s="1" t="s">
        <v>120</v>
      </c>
      <c r="D68" s="1" t="s">
        <v>107</v>
      </c>
      <c r="E68" s="1" t="s">
        <v>27</v>
      </c>
      <c r="F68" s="1" t="s">
        <v>49</v>
      </c>
      <c r="G68" s="1" t="s">
        <v>29</v>
      </c>
      <c r="H68" s="1">
        <f t="shared" si="1"/>
        <v>3</v>
      </c>
      <c r="I68" s="1" t="s">
        <v>30</v>
      </c>
      <c r="J68" s="1" cm="1">
        <f t="array" ref="J68">_xlfn.SWITCH(I68,"No",0,"Not Sure",1,"Yes",2)</f>
        <v>2</v>
      </c>
      <c r="K68" s="1">
        <v>2</v>
      </c>
      <c r="L68" s="1" t="s">
        <v>30</v>
      </c>
      <c r="M68" s="1" cm="1">
        <f t="array" ref="M68">_xlfn.SWITCH(L68,"No",0,"Not Sure",1,"Yes",2)</f>
        <v>2</v>
      </c>
      <c r="N68" s="1" t="s">
        <v>54</v>
      </c>
      <c r="O68" s="1" cm="1">
        <f t="array" ref="O68">_xlfn.SWITCH(N68,"Less than 4 hours",3,"4 - 6 hours",5,"6 - 8 hours",7,"More than 8 hours",9)</f>
        <v>5</v>
      </c>
      <c r="P68" s="1" t="s">
        <v>59</v>
      </c>
      <c r="Q68" s="1" cm="1">
        <f t="array" ref="Q68">_xlfn.IFS(
    P68="Less than 1 hour", 1,
    P68="1-2 hours", 2,
    P68="2-4 hours", 3,
    P68="More than 4 hours", 4
)</f>
        <v>2</v>
      </c>
      <c r="R68" s="1" t="s">
        <v>34</v>
      </c>
      <c r="S68" s="1" cm="1">
        <f t="array" ref="S68">_xlfn.IFS(
    R68="Never", 1,
    R68="Rarely", 2,
    R68="Once a week", 3,
    R68="A few times a week", 4,
    R68="Daily", 5
)</f>
        <v>2</v>
      </c>
      <c r="T68" s="1" t="s">
        <v>60</v>
      </c>
      <c r="U68" s="1" t="s">
        <v>36</v>
      </c>
      <c r="V68" s="1" t="s">
        <v>37</v>
      </c>
      <c r="W68" s="1" t="s">
        <v>38</v>
      </c>
      <c r="X68" s="1" t="s">
        <v>140</v>
      </c>
      <c r="Y68" s="1" t="s">
        <v>141</v>
      </c>
    </row>
    <row r="69" spans="1:25" x14ac:dyDescent="0.3">
      <c r="A69" s="1" t="s">
        <v>151</v>
      </c>
      <c r="B69" s="1" t="s">
        <v>116</v>
      </c>
      <c r="C69" s="1" t="s">
        <v>122</v>
      </c>
      <c r="D69" s="1" t="s">
        <v>48</v>
      </c>
      <c r="E69" s="1" t="s">
        <v>27</v>
      </c>
      <c r="F69" s="1" t="s">
        <v>28</v>
      </c>
      <c r="G69" s="1" t="s">
        <v>34</v>
      </c>
      <c r="H69" s="1">
        <f t="shared" si="1"/>
        <v>2</v>
      </c>
      <c r="I69" s="1" t="s">
        <v>31</v>
      </c>
      <c r="J69" s="1" cm="1">
        <f t="array" ref="J69">_xlfn.SWITCH(I69,"No",0,"Not Sure",1,"Yes",2)</f>
        <v>1</v>
      </c>
      <c r="K69" s="1">
        <v>4</v>
      </c>
      <c r="L69" s="1" t="s">
        <v>30</v>
      </c>
      <c r="M69" s="1" cm="1">
        <f t="array" ref="M69">_xlfn.SWITCH(L69,"No",0,"Not Sure",1,"Yes",2)</f>
        <v>2</v>
      </c>
      <c r="N69" s="1" t="s">
        <v>32</v>
      </c>
      <c r="O69" s="1" cm="1">
        <f t="array" ref="O69">_xlfn.SWITCH(N69,"Less than 4 hours",3,"4 - 6 hours",5,"6 - 8 hours",7,"More than 8 hours",9)</f>
        <v>7</v>
      </c>
      <c r="P69" s="1" t="s">
        <v>43</v>
      </c>
      <c r="Q69" s="1" cm="1">
        <f t="array" ref="Q69">_xlfn.IFS(
    P69="Less than 1 hour", 1,
    P69="1-2 hours", 2,
    P69="2-4 hours", 3,
    P69="More than 4 hours", 4
)</f>
        <v>3</v>
      </c>
      <c r="R69" s="1" t="s">
        <v>44</v>
      </c>
      <c r="S69" s="1" cm="1">
        <f t="array" ref="S69">_xlfn.IFS(
    R69="Never", 1,
    R69="Rarely", 2,
    R69="Once a week", 3,
    R69="A few times a week", 4,
    R69="Daily", 5
)</f>
        <v>5</v>
      </c>
      <c r="T69" s="1" t="s">
        <v>35</v>
      </c>
      <c r="U69" s="1" t="s">
        <v>63</v>
      </c>
      <c r="V69" s="1" t="s">
        <v>94</v>
      </c>
      <c r="W69" s="1" t="s">
        <v>38</v>
      </c>
      <c r="X69" s="1" t="s">
        <v>52</v>
      </c>
      <c r="Y69" s="1" t="s">
        <v>87</v>
      </c>
    </row>
    <row r="70" spans="1:25" x14ac:dyDescent="0.3">
      <c r="A70" s="1" t="s">
        <v>152</v>
      </c>
      <c r="B70" s="1" t="s">
        <v>83</v>
      </c>
      <c r="C70" s="1" t="s">
        <v>125</v>
      </c>
      <c r="D70" s="1" t="s">
        <v>107</v>
      </c>
      <c r="E70" s="1" t="s">
        <v>58</v>
      </c>
      <c r="F70" s="1" t="s">
        <v>49</v>
      </c>
      <c r="G70" s="1" t="s">
        <v>44</v>
      </c>
      <c r="H70" s="1">
        <f t="shared" si="1"/>
        <v>5</v>
      </c>
      <c r="I70" s="1" t="s">
        <v>30</v>
      </c>
      <c r="J70" s="1" cm="1">
        <f t="array" ref="J70">_xlfn.SWITCH(I70,"No",0,"Not Sure",1,"Yes",2)</f>
        <v>2</v>
      </c>
      <c r="K70" s="1">
        <v>2</v>
      </c>
      <c r="L70" s="1" t="s">
        <v>30</v>
      </c>
      <c r="M70" s="1" cm="1">
        <f t="array" ref="M70">_xlfn.SWITCH(L70,"No",0,"Not Sure",1,"Yes",2)</f>
        <v>2</v>
      </c>
      <c r="N70" s="1" t="s">
        <v>54</v>
      </c>
      <c r="O70" s="1" cm="1">
        <f t="array" ref="O70">_xlfn.SWITCH(N70,"Less than 4 hours",3,"4 - 6 hours",5,"6 - 8 hours",7,"More than 8 hours",9)</f>
        <v>5</v>
      </c>
      <c r="P70" s="1" t="s">
        <v>59</v>
      </c>
      <c r="Q70" s="1" cm="1">
        <f t="array" ref="Q70">_xlfn.IFS(
    P70="Less than 1 hour", 1,
    P70="1-2 hours", 2,
    P70="2-4 hours", 3,
    P70="More than 4 hours", 4
)</f>
        <v>2</v>
      </c>
      <c r="R70" s="1" t="s">
        <v>34</v>
      </c>
      <c r="S70" s="1" cm="1">
        <f t="array" ref="S70">_xlfn.IFS(
    R70="Never", 1,
    R70="Rarely", 2,
    R70="Once a week", 3,
    R70="A few times a week", 4,
    R70="Daily", 5
)</f>
        <v>2</v>
      </c>
      <c r="T70" s="1" t="s">
        <v>60</v>
      </c>
      <c r="U70" s="1" t="s">
        <v>36</v>
      </c>
      <c r="V70" s="1" t="s">
        <v>51</v>
      </c>
      <c r="W70" s="1" t="s">
        <v>38</v>
      </c>
      <c r="X70" s="1" t="s">
        <v>140</v>
      </c>
      <c r="Y70" s="1" t="s">
        <v>46</v>
      </c>
    </row>
    <row r="71" spans="1:25" x14ac:dyDescent="0.3">
      <c r="A71" s="1" t="s">
        <v>153</v>
      </c>
      <c r="B71" s="1" t="s">
        <v>24</v>
      </c>
      <c r="C71" s="1" t="s">
        <v>84</v>
      </c>
      <c r="D71" s="1" t="s">
        <v>26</v>
      </c>
      <c r="E71" s="1" t="s">
        <v>27</v>
      </c>
      <c r="F71" s="1" t="s">
        <v>28</v>
      </c>
      <c r="G71" s="1" t="s">
        <v>69</v>
      </c>
      <c r="H71" s="1">
        <f t="shared" si="1"/>
        <v>4</v>
      </c>
      <c r="I71" s="1" t="s">
        <v>30</v>
      </c>
      <c r="J71" s="1" cm="1">
        <f t="array" ref="J71">_xlfn.SWITCH(I71,"No",0,"Not Sure",1,"Yes",2)</f>
        <v>2</v>
      </c>
      <c r="K71" s="1">
        <v>3</v>
      </c>
      <c r="L71" s="1" t="s">
        <v>30</v>
      </c>
      <c r="M71" s="1" cm="1">
        <f t="array" ref="M71">_xlfn.SWITCH(L71,"No",0,"Not Sure",1,"Yes",2)</f>
        <v>2</v>
      </c>
      <c r="N71" s="1" t="s">
        <v>32</v>
      </c>
      <c r="O71" s="1" cm="1">
        <f t="array" ref="O71">_xlfn.SWITCH(N71,"Less than 4 hours",3,"4 - 6 hours",5,"6 - 8 hours",7,"More than 8 hours",9)</f>
        <v>7</v>
      </c>
      <c r="P71" s="1" t="s">
        <v>43</v>
      </c>
      <c r="Q71" s="1" cm="1">
        <f t="array" ref="Q71">_xlfn.IFS(
    P71="Less than 1 hour", 1,
    P71="1-2 hours", 2,
    P71="2-4 hours", 3,
    P71="More than 4 hours", 4
)</f>
        <v>3</v>
      </c>
      <c r="R71" s="1" t="s">
        <v>80</v>
      </c>
      <c r="S71" s="1" cm="1">
        <f t="array" ref="S71">_xlfn.IFS(
    R71="Never", 1,
    R71="Rarely", 2,
    R71="Once a week", 3,
    R71="A few times a week", 4,
    R71="Daily", 5
)</f>
        <v>4</v>
      </c>
      <c r="T71" s="1" t="s">
        <v>35</v>
      </c>
      <c r="U71" s="1" t="s">
        <v>138</v>
      </c>
      <c r="V71" s="1" t="s">
        <v>37</v>
      </c>
      <c r="W71" s="1" t="s">
        <v>38</v>
      </c>
      <c r="X71" s="1" t="s">
        <v>52</v>
      </c>
      <c r="Y71" s="1" t="s">
        <v>87</v>
      </c>
    </row>
    <row r="72" spans="1:25" x14ac:dyDescent="0.3">
      <c r="A72" s="1" t="s">
        <v>154</v>
      </c>
      <c r="B72" s="1" t="s">
        <v>119</v>
      </c>
      <c r="C72" s="1" t="s">
        <v>25</v>
      </c>
      <c r="D72" s="1" t="s">
        <v>48</v>
      </c>
      <c r="E72" s="1" t="s">
        <v>58</v>
      </c>
      <c r="F72" s="1" t="s">
        <v>49</v>
      </c>
      <c r="G72" s="1" t="s">
        <v>29</v>
      </c>
      <c r="H72" s="1">
        <f t="shared" si="1"/>
        <v>3</v>
      </c>
      <c r="I72" s="1" t="s">
        <v>42</v>
      </c>
      <c r="J72" s="1" cm="1">
        <f t="array" ref="J72">_xlfn.SWITCH(I72,"No",0,"Not Sure",1,"Yes",2)</f>
        <v>0</v>
      </c>
      <c r="K72" s="1">
        <v>5</v>
      </c>
      <c r="L72" s="1" t="s">
        <v>42</v>
      </c>
      <c r="M72" s="1" cm="1">
        <f t="array" ref="M72">_xlfn.SWITCH(L72,"No",0,"Not Sure",1,"Yes",2)</f>
        <v>0</v>
      </c>
      <c r="N72" s="1" t="s">
        <v>32</v>
      </c>
      <c r="O72" s="1" cm="1">
        <f t="array" ref="O72">_xlfn.SWITCH(N72,"Less than 4 hours",3,"4 - 6 hours",5,"6 - 8 hours",7,"More than 8 hours",9)</f>
        <v>7</v>
      </c>
      <c r="P72" s="1" t="s">
        <v>43</v>
      </c>
      <c r="Q72" s="1" cm="1">
        <f t="array" ref="Q72">_xlfn.IFS(
    P72="Less than 1 hour", 1,
    P72="1-2 hours", 2,
    P72="2-4 hours", 3,
    P72="More than 4 hours", 4
)</f>
        <v>3</v>
      </c>
      <c r="R72" s="1" t="s">
        <v>34</v>
      </c>
      <c r="S72" s="1" cm="1">
        <f t="array" ref="S72">_xlfn.IFS(
    R72="Never", 1,
    R72="Rarely", 2,
    R72="Once a week", 3,
    R72="A few times a week", 4,
    R72="Daily", 5
)</f>
        <v>2</v>
      </c>
      <c r="T72" s="1" t="s">
        <v>55</v>
      </c>
      <c r="U72" s="1" t="s">
        <v>36</v>
      </c>
      <c r="V72" s="1" t="s">
        <v>45</v>
      </c>
      <c r="W72" s="1" t="s">
        <v>38</v>
      </c>
      <c r="X72" s="1" t="s">
        <v>140</v>
      </c>
      <c r="Y72" s="1" t="s">
        <v>141</v>
      </c>
    </row>
    <row r="73" spans="1:25" x14ac:dyDescent="0.3">
      <c r="A73" s="1" t="s">
        <v>155</v>
      </c>
      <c r="B73" s="1" t="s">
        <v>116</v>
      </c>
      <c r="C73" s="1" t="s">
        <v>117</v>
      </c>
      <c r="D73" s="1" t="s">
        <v>107</v>
      </c>
      <c r="E73" s="1" t="s">
        <v>27</v>
      </c>
      <c r="F73" s="1" t="s">
        <v>28</v>
      </c>
      <c r="G73" s="1" t="s">
        <v>34</v>
      </c>
      <c r="H73" s="1">
        <f t="shared" si="1"/>
        <v>2</v>
      </c>
      <c r="I73" s="1" t="s">
        <v>31</v>
      </c>
      <c r="J73" s="1" cm="1">
        <f t="array" ref="J73">_xlfn.SWITCH(I73,"No",0,"Not Sure",1,"Yes",2)</f>
        <v>1</v>
      </c>
      <c r="K73" s="1">
        <v>3</v>
      </c>
      <c r="L73" s="1" t="s">
        <v>30</v>
      </c>
      <c r="M73" s="1" cm="1">
        <f t="array" ref="M73">_xlfn.SWITCH(L73,"No",0,"Not Sure",1,"Yes",2)</f>
        <v>2</v>
      </c>
      <c r="N73" s="1" t="s">
        <v>54</v>
      </c>
      <c r="O73" s="1" cm="1">
        <f t="array" ref="O73">_xlfn.SWITCH(N73,"Less than 4 hours",3,"4 - 6 hours",5,"6 - 8 hours",7,"More than 8 hours",9)</f>
        <v>5</v>
      </c>
      <c r="P73" s="1" t="s">
        <v>59</v>
      </c>
      <c r="Q73" s="1" cm="1">
        <f t="array" ref="Q73">_xlfn.IFS(
    P73="Less than 1 hour", 1,
    P73="1-2 hours", 2,
    P73="2-4 hours", 3,
    P73="More than 4 hours", 4
)</f>
        <v>2</v>
      </c>
      <c r="R73" s="1" t="s">
        <v>44</v>
      </c>
      <c r="S73" s="1" cm="1">
        <f t="array" ref="S73">_xlfn.IFS(
    R73="Never", 1,
    R73="Rarely", 2,
    R73="Once a week", 3,
    R73="A few times a week", 4,
    R73="Daily", 5
)</f>
        <v>5</v>
      </c>
      <c r="T73" s="1" t="s">
        <v>35</v>
      </c>
      <c r="U73" s="1" t="s">
        <v>63</v>
      </c>
      <c r="V73" s="1" t="s">
        <v>65</v>
      </c>
      <c r="W73" s="1" t="s">
        <v>38</v>
      </c>
      <c r="X73" s="1" t="s">
        <v>136</v>
      </c>
      <c r="Y73" s="1" t="s">
        <v>87</v>
      </c>
    </row>
    <row r="74" spans="1:25" x14ac:dyDescent="0.3">
      <c r="A74" s="1" t="s">
        <v>156</v>
      </c>
      <c r="B74" s="1" t="s">
        <v>83</v>
      </c>
      <c r="C74" s="1" t="s">
        <v>120</v>
      </c>
      <c r="D74" s="1" t="s">
        <v>26</v>
      </c>
      <c r="E74" s="1" t="s">
        <v>101</v>
      </c>
      <c r="F74" s="1" t="s">
        <v>49</v>
      </c>
      <c r="G74" s="1" t="s">
        <v>44</v>
      </c>
      <c r="H74" s="1">
        <f t="shared" si="1"/>
        <v>5</v>
      </c>
      <c r="I74" s="1" t="s">
        <v>30</v>
      </c>
      <c r="J74" s="1" cm="1">
        <f t="array" ref="J74">_xlfn.SWITCH(I74,"No",0,"Not Sure",1,"Yes",2)</f>
        <v>2</v>
      </c>
      <c r="K74" s="1">
        <v>1</v>
      </c>
      <c r="L74" s="1" t="s">
        <v>30</v>
      </c>
      <c r="M74" s="1" cm="1">
        <f t="array" ref="M74">_xlfn.SWITCH(L74,"No",0,"Not Sure",1,"Yes",2)</f>
        <v>2</v>
      </c>
      <c r="N74" s="1" t="s">
        <v>54</v>
      </c>
      <c r="O74" s="1" cm="1">
        <f t="array" ref="O74">_xlfn.SWITCH(N74,"Less than 4 hours",3,"4 - 6 hours",5,"6 - 8 hours",7,"More than 8 hours",9)</f>
        <v>5</v>
      </c>
      <c r="P74" s="1" t="s">
        <v>59</v>
      </c>
      <c r="Q74" s="1" cm="1">
        <f t="array" ref="Q74">_xlfn.IFS(
    P74="Less than 1 hour", 1,
    P74="1-2 hours", 2,
    P74="2-4 hours", 3,
    P74="More than 4 hours", 4
)</f>
        <v>2</v>
      </c>
      <c r="R74" s="1" t="s">
        <v>29</v>
      </c>
      <c r="S74" s="1" cm="1">
        <f t="array" ref="S74">_xlfn.IFS(
    R74="Never", 1,
    R74="Rarely", 2,
    R74="Once a week", 3,
    R74="A few times a week", 4,
    R74="Daily", 5
)</f>
        <v>3</v>
      </c>
      <c r="T74" s="1" t="s">
        <v>60</v>
      </c>
      <c r="U74" s="1" t="s">
        <v>56</v>
      </c>
      <c r="V74" s="1" t="s">
        <v>37</v>
      </c>
      <c r="W74" s="1" t="s">
        <v>38</v>
      </c>
      <c r="X74" s="1" t="s">
        <v>140</v>
      </c>
      <c r="Y74" s="1" t="s">
        <v>46</v>
      </c>
    </row>
    <row r="75" spans="1:25" x14ac:dyDescent="0.3">
      <c r="A75" s="1" t="s">
        <v>157</v>
      </c>
      <c r="B75" s="1" t="s">
        <v>24</v>
      </c>
      <c r="C75" s="1" t="s">
        <v>122</v>
      </c>
      <c r="D75" s="1" t="s">
        <v>114</v>
      </c>
      <c r="E75" s="1" t="s">
        <v>58</v>
      </c>
      <c r="F75" s="1" t="s">
        <v>28</v>
      </c>
      <c r="G75" s="1" t="s">
        <v>69</v>
      </c>
      <c r="H75" s="1">
        <f t="shared" si="1"/>
        <v>4</v>
      </c>
      <c r="I75" s="1" t="s">
        <v>30</v>
      </c>
      <c r="J75" s="1" cm="1">
        <f t="array" ref="J75">_xlfn.SWITCH(I75,"No",0,"Not Sure",1,"Yes",2)</f>
        <v>2</v>
      </c>
      <c r="K75" s="1">
        <v>2</v>
      </c>
      <c r="L75" s="1" t="s">
        <v>30</v>
      </c>
      <c r="M75" s="1" cm="1">
        <f t="array" ref="M75">_xlfn.SWITCH(L75,"No",0,"Not Sure",1,"Yes",2)</f>
        <v>2</v>
      </c>
      <c r="N75" s="1" t="s">
        <v>32</v>
      </c>
      <c r="O75" s="1" cm="1">
        <f t="array" ref="O75">_xlfn.SWITCH(N75,"Less than 4 hours",3,"4 - 6 hours",5,"6 - 8 hours",7,"More than 8 hours",9)</f>
        <v>7</v>
      </c>
      <c r="P75" s="1" t="s">
        <v>43</v>
      </c>
      <c r="Q75" s="1" cm="1">
        <f t="array" ref="Q75">_xlfn.IFS(
    P75="Less than 1 hour", 1,
    P75="1-2 hours", 2,
    P75="2-4 hours", 3,
    P75="More than 4 hours", 4
)</f>
        <v>3</v>
      </c>
      <c r="R75" s="1" t="s">
        <v>34</v>
      </c>
      <c r="S75" s="1" cm="1">
        <f t="array" ref="S75">_xlfn.IFS(
    R75="Never", 1,
    R75="Rarely", 2,
    R75="Once a week", 3,
    R75="A few times a week", 4,
    R75="Daily", 5
)</f>
        <v>2</v>
      </c>
      <c r="T75" s="1" t="s">
        <v>35</v>
      </c>
      <c r="U75" s="1" t="s">
        <v>36</v>
      </c>
      <c r="V75" s="1" t="s">
        <v>94</v>
      </c>
      <c r="W75" s="1" t="s">
        <v>38</v>
      </c>
      <c r="X75" s="1" t="s">
        <v>52</v>
      </c>
      <c r="Y75" s="1" t="s">
        <v>141</v>
      </c>
    </row>
    <row r="76" spans="1:25" x14ac:dyDescent="0.3">
      <c r="A76" s="1" t="s">
        <v>158</v>
      </c>
      <c r="B76" s="1" t="s">
        <v>119</v>
      </c>
      <c r="C76" s="1" t="s">
        <v>125</v>
      </c>
      <c r="D76" s="1" t="s">
        <v>48</v>
      </c>
      <c r="E76" s="1" t="s">
        <v>27</v>
      </c>
      <c r="F76" s="1" t="s">
        <v>49</v>
      </c>
      <c r="G76" s="1" t="s">
        <v>29</v>
      </c>
      <c r="H76" s="1">
        <f t="shared" si="1"/>
        <v>3</v>
      </c>
      <c r="I76" s="1" t="s">
        <v>42</v>
      </c>
      <c r="J76" s="1" cm="1">
        <f t="array" ref="J76">_xlfn.SWITCH(I76,"No",0,"Not Sure",1,"Yes",2)</f>
        <v>0</v>
      </c>
      <c r="K76" s="1">
        <v>4</v>
      </c>
      <c r="L76" s="1" t="s">
        <v>42</v>
      </c>
      <c r="M76" s="1" cm="1">
        <f t="array" ref="M76">_xlfn.SWITCH(L76,"No",0,"Not Sure",1,"Yes",2)</f>
        <v>0</v>
      </c>
      <c r="N76" s="1" t="s">
        <v>32</v>
      </c>
      <c r="O76" s="1" cm="1">
        <f t="array" ref="O76">_xlfn.SWITCH(N76,"Less than 4 hours",3,"4 - 6 hours",5,"6 - 8 hours",7,"More than 8 hours",9)</f>
        <v>7</v>
      </c>
      <c r="P76" s="1" t="s">
        <v>43</v>
      </c>
      <c r="Q76" s="1" cm="1">
        <f t="array" ref="Q76">_xlfn.IFS(
    P76="Less than 1 hour", 1,
    P76="1-2 hours", 2,
    P76="2-4 hours", 3,
    P76="More than 4 hours", 4
)</f>
        <v>3</v>
      </c>
      <c r="R76" s="1" t="s">
        <v>44</v>
      </c>
      <c r="S76" s="1" cm="1">
        <f t="array" ref="S76">_xlfn.IFS(
    R76="Never", 1,
    R76="Rarely", 2,
    R76="Once a week", 3,
    R76="A few times a week", 4,
    R76="Daily", 5
)</f>
        <v>5</v>
      </c>
      <c r="T76" s="1" t="s">
        <v>146</v>
      </c>
      <c r="U76" s="1" t="s">
        <v>63</v>
      </c>
      <c r="V76" s="1" t="s">
        <v>45</v>
      </c>
      <c r="W76" s="1" t="s">
        <v>38</v>
      </c>
      <c r="X76" s="1" t="s">
        <v>140</v>
      </c>
      <c r="Y76" s="1" t="s">
        <v>87</v>
      </c>
    </row>
    <row r="77" spans="1:25" x14ac:dyDescent="0.3">
      <c r="A77" s="1" t="s">
        <v>159</v>
      </c>
      <c r="B77" s="1" t="s">
        <v>116</v>
      </c>
      <c r="C77" s="1" t="s">
        <v>84</v>
      </c>
      <c r="D77" s="1" t="s">
        <v>107</v>
      </c>
      <c r="E77" s="1" t="s">
        <v>27</v>
      </c>
      <c r="F77" s="1" t="s">
        <v>28</v>
      </c>
      <c r="G77" s="1" t="s">
        <v>34</v>
      </c>
      <c r="H77" s="1">
        <f t="shared" si="1"/>
        <v>2</v>
      </c>
      <c r="I77" s="1" t="s">
        <v>30</v>
      </c>
      <c r="J77" s="1" cm="1">
        <f t="array" ref="J77">_xlfn.SWITCH(I77,"No",0,"Not Sure",1,"Yes",2)</f>
        <v>2</v>
      </c>
      <c r="K77" s="1">
        <v>5</v>
      </c>
      <c r="L77" s="1" t="s">
        <v>30</v>
      </c>
      <c r="M77" s="1" cm="1">
        <f t="array" ref="M77">_xlfn.SWITCH(L77,"No",0,"Not Sure",1,"Yes",2)</f>
        <v>2</v>
      </c>
      <c r="N77" s="1" t="s">
        <v>32</v>
      </c>
      <c r="O77" s="1" cm="1">
        <f t="array" ref="O77">_xlfn.SWITCH(N77,"Less than 4 hours",3,"4 - 6 hours",5,"6 - 8 hours",7,"More than 8 hours",9)</f>
        <v>7</v>
      </c>
      <c r="P77" s="1" t="s">
        <v>59</v>
      </c>
      <c r="Q77" s="1" cm="1">
        <f t="array" ref="Q77">_xlfn.IFS(
    P77="Less than 1 hour", 1,
    P77="1-2 hours", 2,
    P77="2-4 hours", 3,
    P77="More than 4 hours", 4
)</f>
        <v>2</v>
      </c>
      <c r="R77" s="1" t="s">
        <v>34</v>
      </c>
      <c r="S77" s="1" cm="1">
        <f t="array" ref="S77">_xlfn.IFS(
    R77="Never", 1,
    R77="Rarely", 2,
    R77="Once a week", 3,
    R77="A few times a week", 4,
    R77="Daily", 5
)</f>
        <v>2</v>
      </c>
      <c r="T77" s="1" t="s">
        <v>55</v>
      </c>
      <c r="U77" s="1" t="s">
        <v>36</v>
      </c>
      <c r="V77" s="1" t="s">
        <v>37</v>
      </c>
      <c r="W77" s="1" t="s">
        <v>38</v>
      </c>
      <c r="X77" s="1" t="s">
        <v>52</v>
      </c>
      <c r="Y77" s="1" t="s">
        <v>141</v>
      </c>
    </row>
    <row r="78" spans="1:25" x14ac:dyDescent="0.3">
      <c r="A78" s="1" t="s">
        <v>160</v>
      </c>
      <c r="B78" s="1" t="s">
        <v>83</v>
      </c>
      <c r="C78" s="1" t="s">
        <v>25</v>
      </c>
      <c r="D78" s="1" t="s">
        <v>26</v>
      </c>
      <c r="E78" s="1" t="s">
        <v>101</v>
      </c>
      <c r="F78" s="1" t="s">
        <v>49</v>
      </c>
      <c r="G78" s="1" t="s">
        <v>44</v>
      </c>
      <c r="H78" s="1">
        <f t="shared" si="1"/>
        <v>5</v>
      </c>
      <c r="I78" s="1" t="s">
        <v>30</v>
      </c>
      <c r="J78" s="1" cm="1">
        <f t="array" ref="J78">_xlfn.SWITCH(I78,"No",0,"Not Sure",1,"Yes",2)</f>
        <v>2</v>
      </c>
      <c r="K78" s="1">
        <v>1</v>
      </c>
      <c r="L78" s="1" t="s">
        <v>30</v>
      </c>
      <c r="M78" s="1" cm="1">
        <f t="array" ref="M78">_xlfn.SWITCH(L78,"No",0,"Not Sure",1,"Yes",2)</f>
        <v>2</v>
      </c>
      <c r="N78" s="1" t="s">
        <v>54</v>
      </c>
      <c r="O78" s="1" cm="1">
        <f t="array" ref="O78">_xlfn.SWITCH(N78,"Less than 4 hours",3,"4 - 6 hours",5,"6 - 8 hours",7,"More than 8 hours",9)</f>
        <v>5</v>
      </c>
      <c r="P78" s="1" t="s">
        <v>43</v>
      </c>
      <c r="Q78" s="1" cm="1">
        <f t="array" ref="Q78">_xlfn.IFS(
    P78="Less than 1 hour", 1,
    P78="1-2 hours", 2,
    P78="2-4 hours", 3,
    P78="More than 4 hours", 4
)</f>
        <v>3</v>
      </c>
      <c r="R78" s="1" t="s">
        <v>44</v>
      </c>
      <c r="S78" s="1" cm="1">
        <f t="array" ref="S78">_xlfn.IFS(
    R78="Never", 1,
    R78="Rarely", 2,
    R78="Once a week", 3,
    R78="A few times a week", 4,
    R78="Daily", 5
)</f>
        <v>5</v>
      </c>
      <c r="T78" s="1" t="s">
        <v>60</v>
      </c>
      <c r="U78" s="1" t="s">
        <v>56</v>
      </c>
      <c r="V78" s="1" t="s">
        <v>72</v>
      </c>
      <c r="W78" s="1" t="s">
        <v>38</v>
      </c>
      <c r="X78" s="1" t="s">
        <v>140</v>
      </c>
      <c r="Y78" s="1" t="s">
        <v>46</v>
      </c>
    </row>
    <row r="79" spans="1:25" x14ac:dyDescent="0.3">
      <c r="A79" s="1" t="s">
        <v>161</v>
      </c>
      <c r="B79" s="1" t="s">
        <v>24</v>
      </c>
      <c r="C79" s="1" t="s">
        <v>117</v>
      </c>
      <c r="D79" s="1" t="s">
        <v>114</v>
      </c>
      <c r="E79" s="1" t="s">
        <v>58</v>
      </c>
      <c r="F79" s="1" t="s">
        <v>28</v>
      </c>
      <c r="G79" s="1" t="s">
        <v>69</v>
      </c>
      <c r="H79" s="1">
        <f t="shared" si="1"/>
        <v>4</v>
      </c>
      <c r="I79" s="1" t="s">
        <v>42</v>
      </c>
      <c r="J79" s="1" cm="1">
        <f t="array" ref="J79">_xlfn.SWITCH(I79,"No",0,"Not Sure",1,"Yes",2)</f>
        <v>0</v>
      </c>
      <c r="K79" s="1">
        <v>3</v>
      </c>
      <c r="L79" s="1" t="s">
        <v>42</v>
      </c>
      <c r="M79" s="1" cm="1">
        <f t="array" ref="M79">_xlfn.SWITCH(L79,"No",0,"Not Sure",1,"Yes",2)</f>
        <v>0</v>
      </c>
      <c r="N79" s="1" t="s">
        <v>32</v>
      </c>
      <c r="O79" s="1" cm="1">
        <f t="array" ref="O79">_xlfn.SWITCH(N79,"Less than 4 hours",3,"4 - 6 hours",5,"6 - 8 hours",7,"More than 8 hours",9)</f>
        <v>7</v>
      </c>
      <c r="P79" s="1" t="s">
        <v>43</v>
      </c>
      <c r="Q79" s="1" cm="1">
        <f t="array" ref="Q79">_xlfn.IFS(
    P79="Less than 1 hour", 1,
    P79="1-2 hours", 2,
    P79="2-4 hours", 3,
    P79="More than 4 hours", 4
)</f>
        <v>3</v>
      </c>
      <c r="R79" s="1" t="s">
        <v>80</v>
      </c>
      <c r="S79" s="1" cm="1">
        <f t="array" ref="S79">_xlfn.IFS(
    R79="Never", 1,
    R79="Rarely", 2,
    R79="Once a week", 3,
    R79="A few times a week", 4,
    R79="Daily", 5
)</f>
        <v>4</v>
      </c>
      <c r="T79" s="1" t="s">
        <v>35</v>
      </c>
      <c r="U79" s="1" t="s">
        <v>138</v>
      </c>
      <c r="V79" s="1" t="s">
        <v>51</v>
      </c>
      <c r="W79" s="1" t="s">
        <v>38</v>
      </c>
      <c r="X79" s="1" t="s">
        <v>136</v>
      </c>
      <c r="Y79" s="1" t="s">
        <v>87</v>
      </c>
    </row>
    <row r="80" spans="1:25" x14ac:dyDescent="0.3">
      <c r="A80" s="1" t="s">
        <v>162</v>
      </c>
      <c r="B80" s="1" t="s">
        <v>24</v>
      </c>
      <c r="C80" s="1" t="s">
        <v>25</v>
      </c>
      <c r="D80" s="1" t="s">
        <v>114</v>
      </c>
      <c r="E80" s="1" t="s">
        <v>58</v>
      </c>
      <c r="F80" s="1" t="s">
        <v>28</v>
      </c>
      <c r="G80" s="1" t="s">
        <v>44</v>
      </c>
      <c r="H80" s="1">
        <f t="shared" si="1"/>
        <v>5</v>
      </c>
      <c r="I80" s="1" t="s">
        <v>30</v>
      </c>
      <c r="J80" s="1" cm="1">
        <f t="array" ref="J80">_xlfn.SWITCH(I80,"No",0,"Not Sure",1,"Yes",2)</f>
        <v>2</v>
      </c>
      <c r="K80" s="1">
        <v>2</v>
      </c>
      <c r="L80" s="1" t="s">
        <v>30</v>
      </c>
      <c r="M80" s="1" cm="1">
        <f t="array" ref="M80">_xlfn.SWITCH(L80,"No",0,"Not Sure",1,"Yes",2)</f>
        <v>2</v>
      </c>
      <c r="N80" s="1" t="s">
        <v>54</v>
      </c>
      <c r="O80" s="1" cm="1">
        <f t="array" ref="O80">_xlfn.SWITCH(N80,"Less than 4 hours",3,"4 - 6 hours",5,"6 - 8 hours",7,"More than 8 hours",9)</f>
        <v>5</v>
      </c>
      <c r="P80" s="1" t="s">
        <v>43</v>
      </c>
      <c r="Q80" s="1" cm="1">
        <f t="array" ref="Q80">_xlfn.IFS(
    P80="Less than 1 hour", 1,
    P80="1-2 hours", 2,
    P80="2-4 hours", 3,
    P80="More than 4 hours", 4
)</f>
        <v>3</v>
      </c>
      <c r="R80" s="1" t="s">
        <v>34</v>
      </c>
      <c r="S80" s="1" cm="1">
        <f t="array" ref="S80">_xlfn.IFS(
    R80="Never", 1,
    R80="Rarely", 2,
    R80="Once a week", 3,
    R80="A few times a week", 4,
    R80="Daily", 5
)</f>
        <v>2</v>
      </c>
      <c r="T80" s="1" t="s">
        <v>60</v>
      </c>
      <c r="U80" s="1" t="s">
        <v>36</v>
      </c>
      <c r="V80" s="1" t="s">
        <v>51</v>
      </c>
      <c r="W80" s="1" t="s">
        <v>38</v>
      </c>
      <c r="X80" s="1" t="s">
        <v>39</v>
      </c>
      <c r="Y80" s="1" t="s">
        <v>40</v>
      </c>
    </row>
    <row r="81" spans="1:25" x14ac:dyDescent="0.3">
      <c r="A81" s="1" t="s">
        <v>163</v>
      </c>
      <c r="B81" s="1" t="s">
        <v>116</v>
      </c>
      <c r="C81" s="1" t="s">
        <v>117</v>
      </c>
      <c r="D81" s="1" t="s">
        <v>48</v>
      </c>
      <c r="E81" s="1" t="s">
        <v>27</v>
      </c>
      <c r="F81" s="1" t="s">
        <v>49</v>
      </c>
      <c r="G81" s="1" t="s">
        <v>69</v>
      </c>
      <c r="H81" s="1">
        <f t="shared" si="1"/>
        <v>4</v>
      </c>
      <c r="I81" s="1" t="s">
        <v>42</v>
      </c>
      <c r="J81" s="1" cm="1">
        <f t="array" ref="J81">_xlfn.SWITCH(I81,"No",0,"Not Sure",1,"Yes",2)</f>
        <v>0</v>
      </c>
      <c r="K81" s="1">
        <v>3</v>
      </c>
      <c r="L81" s="1" t="s">
        <v>42</v>
      </c>
      <c r="M81" s="1" cm="1">
        <f t="array" ref="M81">_xlfn.SWITCH(L81,"No",0,"Not Sure",1,"Yes",2)</f>
        <v>0</v>
      </c>
      <c r="N81" s="1" t="s">
        <v>32</v>
      </c>
      <c r="O81" s="1" cm="1">
        <f t="array" ref="O81">_xlfn.SWITCH(N81,"Less than 4 hours",3,"4 - 6 hours",5,"6 - 8 hours",7,"More than 8 hours",9)</f>
        <v>7</v>
      </c>
      <c r="P81" s="1" t="s">
        <v>43</v>
      </c>
      <c r="Q81" s="1" cm="1">
        <f t="array" ref="Q81">_xlfn.IFS(
    P81="Less than 1 hour", 1,
    P81="1-2 hours", 2,
    P81="2-4 hours", 3,
    P81="More than 4 hours", 4
)</f>
        <v>3</v>
      </c>
      <c r="R81" s="1" t="s">
        <v>80</v>
      </c>
      <c r="S81" s="1" cm="1">
        <f t="array" ref="S81">_xlfn.IFS(
    R81="Never", 1,
    R81="Rarely", 2,
    R81="Once a week", 3,
    R81="A few times a week", 4,
    R81="Daily", 5
)</f>
        <v>4</v>
      </c>
      <c r="T81" s="1" t="s">
        <v>35</v>
      </c>
      <c r="U81" s="1" t="s">
        <v>63</v>
      </c>
      <c r="V81" s="1" t="s">
        <v>45</v>
      </c>
      <c r="W81" s="1" t="s">
        <v>38</v>
      </c>
      <c r="X81" s="1" t="s">
        <v>52</v>
      </c>
      <c r="Y81" s="1" t="s">
        <v>46</v>
      </c>
    </row>
    <row r="82" spans="1:25" x14ac:dyDescent="0.3">
      <c r="A82" s="1" t="s">
        <v>164</v>
      </c>
      <c r="B82" s="1" t="s">
        <v>119</v>
      </c>
      <c r="C82" s="1" t="s">
        <v>120</v>
      </c>
      <c r="D82" s="1" t="s">
        <v>107</v>
      </c>
      <c r="E82" s="1" t="s">
        <v>27</v>
      </c>
      <c r="F82" s="1" t="s">
        <v>28</v>
      </c>
      <c r="G82" s="1" t="s">
        <v>29</v>
      </c>
      <c r="H82" s="1">
        <f t="shared" si="1"/>
        <v>3</v>
      </c>
      <c r="I82" s="1" t="s">
        <v>30</v>
      </c>
      <c r="J82" s="1" cm="1">
        <f t="array" ref="J82">_xlfn.SWITCH(I82,"No",0,"Not Sure",1,"Yes",2)</f>
        <v>2</v>
      </c>
      <c r="K82" s="1">
        <v>4</v>
      </c>
      <c r="L82" s="1" t="s">
        <v>30</v>
      </c>
      <c r="M82" s="1" cm="1">
        <f t="array" ref="M82">_xlfn.SWITCH(L82,"No",0,"Not Sure",1,"Yes",2)</f>
        <v>2</v>
      </c>
      <c r="N82" s="1" t="s">
        <v>32</v>
      </c>
      <c r="O82" s="1" cm="1">
        <f t="array" ref="O82">_xlfn.SWITCH(N82,"Less than 4 hours",3,"4 - 6 hours",5,"6 - 8 hours",7,"More than 8 hours",9)</f>
        <v>7</v>
      </c>
      <c r="P82" s="1" t="s">
        <v>59</v>
      </c>
      <c r="Q82" s="1" cm="1">
        <f t="array" ref="Q82">_xlfn.IFS(
    P82="Less than 1 hour", 1,
    P82="1-2 hours", 2,
    P82="2-4 hours", 3,
    P82="More than 4 hours", 4
)</f>
        <v>2</v>
      </c>
      <c r="R82" s="1" t="s">
        <v>44</v>
      </c>
      <c r="S82" s="1" cm="1">
        <f t="array" ref="S82">_xlfn.IFS(
    R82="Never", 1,
    R82="Rarely", 2,
    R82="Once a week", 3,
    R82="A few times a week", 4,
    R82="Daily", 5
)</f>
        <v>5</v>
      </c>
      <c r="T82" s="1" t="s">
        <v>60</v>
      </c>
      <c r="U82" s="1" t="s">
        <v>56</v>
      </c>
      <c r="V82" s="1" t="s">
        <v>37</v>
      </c>
      <c r="W82" s="1" t="s">
        <v>38</v>
      </c>
      <c r="X82" s="1" t="s">
        <v>39</v>
      </c>
      <c r="Y82" s="1" t="s">
        <v>40</v>
      </c>
    </row>
    <row r="83" spans="1:25" x14ac:dyDescent="0.3">
      <c r="A83" s="1" t="s">
        <v>165</v>
      </c>
      <c r="B83" s="1" t="s">
        <v>83</v>
      </c>
      <c r="C83" s="1" t="s">
        <v>122</v>
      </c>
      <c r="D83" s="1" t="s">
        <v>26</v>
      </c>
      <c r="E83" s="1" t="s">
        <v>101</v>
      </c>
      <c r="F83" s="1" t="s">
        <v>49</v>
      </c>
      <c r="G83" s="1" t="s">
        <v>44</v>
      </c>
      <c r="H83" s="1">
        <f t="shared" si="1"/>
        <v>5</v>
      </c>
      <c r="I83" s="1" t="s">
        <v>30</v>
      </c>
      <c r="J83" s="1" cm="1">
        <f t="array" ref="J83">_xlfn.SWITCH(I83,"No",0,"Not Sure",1,"Yes",2)</f>
        <v>2</v>
      </c>
      <c r="K83" s="1">
        <v>2</v>
      </c>
      <c r="L83" s="1" t="s">
        <v>31</v>
      </c>
      <c r="M83" s="1" cm="1">
        <f t="array" ref="M83">_xlfn.SWITCH(L83,"No",0,"Not Sure",1,"Yes",2)</f>
        <v>1</v>
      </c>
      <c r="N83" s="1" t="s">
        <v>54</v>
      </c>
      <c r="O83" s="1" cm="1">
        <f t="array" ref="O83">_xlfn.SWITCH(N83,"Less than 4 hours",3,"4 - 6 hours",5,"6 - 8 hours",7,"More than 8 hours",9)</f>
        <v>5</v>
      </c>
      <c r="P83" s="1" t="s">
        <v>33</v>
      </c>
      <c r="Q83" s="1" cm="1">
        <f t="array" ref="Q83">_xlfn.IFS(
    P83="Less than 1 hour", 1,
    P83="1-2 hours", 2,
    P83="2-4 hours", 3,
    P83="More than 4 hours", 4
)</f>
        <v>4</v>
      </c>
      <c r="R83" s="1" t="s">
        <v>34</v>
      </c>
      <c r="S83" s="1" cm="1">
        <f t="array" ref="S83">_xlfn.IFS(
    R83="Never", 1,
    R83="Rarely", 2,
    R83="Once a week", 3,
    R83="A few times a week", 4,
    R83="Daily", 5
)</f>
        <v>2</v>
      </c>
      <c r="T83" s="1" t="s">
        <v>55</v>
      </c>
      <c r="U83" s="1" t="s">
        <v>36</v>
      </c>
      <c r="V83" s="1" t="s">
        <v>65</v>
      </c>
      <c r="W83" s="1" t="s">
        <v>38</v>
      </c>
      <c r="X83" s="1" t="s">
        <v>39</v>
      </c>
      <c r="Y83" s="1" t="s">
        <v>46</v>
      </c>
    </row>
    <row r="84" spans="1:25" x14ac:dyDescent="0.3">
      <c r="A84" s="1" t="s">
        <v>166</v>
      </c>
      <c r="B84" s="1" t="s">
        <v>24</v>
      </c>
      <c r="C84" s="1" t="s">
        <v>84</v>
      </c>
      <c r="D84" s="1" t="s">
        <v>48</v>
      </c>
      <c r="E84" s="1" t="s">
        <v>27</v>
      </c>
      <c r="F84" s="1" t="s">
        <v>28</v>
      </c>
      <c r="G84" s="1" t="s">
        <v>69</v>
      </c>
      <c r="H84" s="1">
        <f t="shared" si="1"/>
        <v>4</v>
      </c>
      <c r="I84" s="1" t="s">
        <v>30</v>
      </c>
      <c r="J84" s="1" cm="1">
        <f t="array" ref="J84">_xlfn.SWITCH(I84,"No",0,"Not Sure",1,"Yes",2)</f>
        <v>2</v>
      </c>
      <c r="K84" s="1">
        <v>3</v>
      </c>
      <c r="L84" s="1" t="s">
        <v>30</v>
      </c>
      <c r="M84" s="1" cm="1">
        <f t="array" ref="M84">_xlfn.SWITCH(L84,"No",0,"Not Sure",1,"Yes",2)</f>
        <v>2</v>
      </c>
      <c r="N84" s="1" t="s">
        <v>32</v>
      </c>
      <c r="O84" s="1" cm="1">
        <f t="array" ref="O84">_xlfn.SWITCH(N84,"Less than 4 hours",3,"4 - 6 hours",5,"6 - 8 hours",7,"More than 8 hours",9)</f>
        <v>7</v>
      </c>
      <c r="P84" s="1" t="s">
        <v>43</v>
      </c>
      <c r="Q84" s="1" cm="1">
        <f t="array" ref="Q84">_xlfn.IFS(
    P84="Less than 1 hour", 1,
    P84="1-2 hours", 2,
    P84="2-4 hours", 3,
    P84="More than 4 hours", 4
)</f>
        <v>3</v>
      </c>
      <c r="R84" s="1" t="s">
        <v>79</v>
      </c>
      <c r="S84" s="1" cm="1">
        <f t="array" ref="S84">_xlfn.IFS(
    R84="Never", 1,
    R84="Rarely", 2,
    R84="Once a week", 3,
    R84="A few times a week", 4,
    R84="Daily", 5
)</f>
        <v>1</v>
      </c>
      <c r="T84" s="1" t="s">
        <v>35</v>
      </c>
      <c r="U84" s="1" t="s">
        <v>91</v>
      </c>
      <c r="V84" s="1" t="s">
        <v>45</v>
      </c>
      <c r="W84" s="1" t="s">
        <v>38</v>
      </c>
      <c r="X84" s="1" t="s">
        <v>87</v>
      </c>
      <c r="Y84" s="1" t="s">
        <v>87</v>
      </c>
    </row>
    <row r="85" spans="1:25" x14ac:dyDescent="0.3">
      <c r="A85" s="1" t="s">
        <v>167</v>
      </c>
      <c r="B85" s="1" t="s">
        <v>119</v>
      </c>
      <c r="C85" s="1" t="s">
        <v>125</v>
      </c>
      <c r="D85" s="1" t="s">
        <v>107</v>
      </c>
      <c r="E85" s="1" t="s">
        <v>27</v>
      </c>
      <c r="F85" s="1" t="s">
        <v>49</v>
      </c>
      <c r="G85" s="1" t="s">
        <v>34</v>
      </c>
      <c r="H85" s="1">
        <f t="shared" si="1"/>
        <v>2</v>
      </c>
      <c r="I85" s="1" t="s">
        <v>42</v>
      </c>
      <c r="J85" s="1" cm="1">
        <f t="array" ref="J85">_xlfn.SWITCH(I85,"No",0,"Not Sure",1,"Yes",2)</f>
        <v>0</v>
      </c>
      <c r="K85" s="1">
        <v>5</v>
      </c>
      <c r="L85" s="1" t="s">
        <v>42</v>
      </c>
      <c r="M85" s="1" cm="1">
        <f t="array" ref="M85">_xlfn.SWITCH(L85,"No",0,"Not Sure",1,"Yes",2)</f>
        <v>0</v>
      </c>
      <c r="N85" s="1" t="s">
        <v>67</v>
      </c>
      <c r="O85" s="1" cm="1">
        <f t="array" ref="O85">_xlfn.SWITCH(N85,"Less than 4 hours",3,"4 - 6 hours",5,"6 - 8 hours",7,"More than 8 hours",9)</f>
        <v>9</v>
      </c>
      <c r="P85" s="1" t="s">
        <v>59</v>
      </c>
      <c r="Q85" s="1" cm="1">
        <f t="array" ref="Q85">_xlfn.IFS(
    P85="Less than 1 hour", 1,
    P85="1-2 hours", 2,
    P85="2-4 hours", 3,
    P85="More than 4 hours", 4
)</f>
        <v>2</v>
      </c>
      <c r="R85" s="1" t="s">
        <v>80</v>
      </c>
      <c r="S85" s="1" cm="1">
        <f t="array" ref="S85">_xlfn.IFS(
    R85="Never", 1,
    R85="Rarely", 2,
    R85="Once a week", 3,
    R85="A few times a week", 4,
    R85="Daily", 5
)</f>
        <v>4</v>
      </c>
      <c r="T85" s="1" t="s">
        <v>55</v>
      </c>
      <c r="U85" s="1" t="s">
        <v>63</v>
      </c>
      <c r="V85" s="1" t="s">
        <v>94</v>
      </c>
      <c r="W85" s="1" t="s">
        <v>38</v>
      </c>
      <c r="X85" s="1" t="s">
        <v>46</v>
      </c>
      <c r="Y85" s="1" t="s">
        <v>52</v>
      </c>
    </row>
    <row r="86" spans="1:25" x14ac:dyDescent="0.3">
      <c r="A86" s="1" t="s">
        <v>168</v>
      </c>
      <c r="B86" s="1" t="s">
        <v>116</v>
      </c>
      <c r="C86" s="1" t="s">
        <v>25</v>
      </c>
      <c r="D86" s="1" t="s">
        <v>114</v>
      </c>
      <c r="E86" s="1" t="s">
        <v>58</v>
      </c>
      <c r="F86" s="1" t="s">
        <v>28</v>
      </c>
      <c r="G86" s="1" t="s">
        <v>29</v>
      </c>
      <c r="H86" s="1">
        <f t="shared" si="1"/>
        <v>3</v>
      </c>
      <c r="I86" s="1" t="s">
        <v>31</v>
      </c>
      <c r="J86" s="1" cm="1">
        <f t="array" ref="J86">_xlfn.SWITCH(I86,"No",0,"Not Sure",1,"Yes",2)</f>
        <v>1</v>
      </c>
      <c r="K86" s="1">
        <v>4</v>
      </c>
      <c r="L86" s="1" t="s">
        <v>30</v>
      </c>
      <c r="M86" s="1" cm="1">
        <f t="array" ref="M86">_xlfn.SWITCH(L86,"No",0,"Not Sure",1,"Yes",2)</f>
        <v>2</v>
      </c>
      <c r="N86" s="1" t="s">
        <v>32</v>
      </c>
      <c r="O86" s="1" cm="1">
        <f t="array" ref="O86">_xlfn.SWITCH(N86,"Less than 4 hours",3,"4 - 6 hours",5,"6 - 8 hours",7,"More than 8 hours",9)</f>
        <v>7</v>
      </c>
      <c r="P86" s="1" t="s">
        <v>43</v>
      </c>
      <c r="Q86" s="1" cm="1">
        <f t="array" ref="Q86">_xlfn.IFS(
    P86="Less than 1 hour", 1,
    P86="1-2 hours", 2,
    P86="2-4 hours", 3,
    P86="More than 4 hours", 4
)</f>
        <v>3</v>
      </c>
      <c r="R86" s="1" t="s">
        <v>34</v>
      </c>
      <c r="S86" s="1" cm="1">
        <f t="array" ref="S86">_xlfn.IFS(
    R86="Never", 1,
    R86="Rarely", 2,
    R86="Once a week", 3,
    R86="A few times a week", 4,
    R86="Daily", 5
)</f>
        <v>2</v>
      </c>
      <c r="T86" s="1" t="s">
        <v>35</v>
      </c>
      <c r="U86" s="1" t="s">
        <v>36</v>
      </c>
      <c r="V86" s="1" t="s">
        <v>37</v>
      </c>
      <c r="W86" s="1" t="s">
        <v>38</v>
      </c>
      <c r="X86" s="1" t="s">
        <v>39</v>
      </c>
      <c r="Y86" s="1" t="s">
        <v>46</v>
      </c>
    </row>
    <row r="87" spans="1:25" x14ac:dyDescent="0.3">
      <c r="A87" s="1" t="s">
        <v>169</v>
      </c>
      <c r="B87" s="1" t="s">
        <v>83</v>
      </c>
      <c r="C87" s="1" t="s">
        <v>117</v>
      </c>
      <c r="D87" s="1" t="s">
        <v>26</v>
      </c>
      <c r="E87" s="1" t="s">
        <v>101</v>
      </c>
      <c r="F87" s="1" t="s">
        <v>49</v>
      </c>
      <c r="G87" s="1" t="s">
        <v>44</v>
      </c>
      <c r="H87" s="1">
        <f t="shared" si="1"/>
        <v>5</v>
      </c>
      <c r="I87" s="1" t="s">
        <v>30</v>
      </c>
      <c r="J87" s="1" cm="1">
        <f t="array" ref="J87">_xlfn.SWITCH(I87,"No",0,"Not Sure",1,"Yes",2)</f>
        <v>2</v>
      </c>
      <c r="K87" s="1">
        <v>1</v>
      </c>
      <c r="L87" s="1" t="s">
        <v>30</v>
      </c>
      <c r="M87" s="1" cm="1">
        <f t="array" ref="M87">_xlfn.SWITCH(L87,"No",0,"Not Sure",1,"Yes",2)</f>
        <v>2</v>
      </c>
      <c r="N87" s="1" t="s">
        <v>54</v>
      </c>
      <c r="O87" s="1" cm="1">
        <f t="array" ref="O87">_xlfn.SWITCH(N87,"Less than 4 hours",3,"4 - 6 hours",5,"6 - 8 hours",7,"More than 8 hours",9)</f>
        <v>5</v>
      </c>
      <c r="P87" s="1" t="s">
        <v>59</v>
      </c>
      <c r="Q87" s="1" cm="1">
        <f t="array" ref="Q87">_xlfn.IFS(
    P87="Less than 1 hour", 1,
    P87="1-2 hours", 2,
    P87="2-4 hours", 3,
    P87="More than 4 hours", 4
)</f>
        <v>2</v>
      </c>
      <c r="R87" s="1" t="s">
        <v>44</v>
      </c>
      <c r="S87" s="1" cm="1">
        <f t="array" ref="S87">_xlfn.IFS(
    R87="Never", 1,
    R87="Rarely", 2,
    R87="Once a week", 3,
    R87="A few times a week", 4,
    R87="Daily", 5
)</f>
        <v>5</v>
      </c>
      <c r="T87" s="1" t="s">
        <v>60</v>
      </c>
      <c r="U87" s="1" t="s">
        <v>56</v>
      </c>
      <c r="V87" s="1" t="s">
        <v>51</v>
      </c>
      <c r="W87" s="1" t="s">
        <v>38</v>
      </c>
      <c r="X87" s="1" t="s">
        <v>52</v>
      </c>
      <c r="Y87" s="1" t="s">
        <v>40</v>
      </c>
    </row>
    <row r="88" spans="1:25" x14ac:dyDescent="0.3">
      <c r="A88" s="1" t="s">
        <v>170</v>
      </c>
      <c r="B88" s="1" t="s">
        <v>24</v>
      </c>
      <c r="C88" s="1" t="s">
        <v>120</v>
      </c>
      <c r="D88" s="1" t="s">
        <v>48</v>
      </c>
      <c r="E88" s="1" t="s">
        <v>27</v>
      </c>
      <c r="F88" s="1" t="s">
        <v>28</v>
      </c>
      <c r="G88" s="1" t="s">
        <v>44</v>
      </c>
      <c r="H88" s="1">
        <f t="shared" si="1"/>
        <v>5</v>
      </c>
      <c r="I88" s="1" t="s">
        <v>30</v>
      </c>
      <c r="J88" s="1" cm="1">
        <f t="array" ref="J88">_xlfn.SWITCH(I88,"No",0,"Not Sure",1,"Yes",2)</f>
        <v>2</v>
      </c>
      <c r="K88" s="1">
        <v>2</v>
      </c>
      <c r="L88" s="1" t="s">
        <v>30</v>
      </c>
      <c r="M88" s="1" cm="1">
        <f t="array" ref="M88">_xlfn.SWITCH(L88,"No",0,"Not Sure",1,"Yes",2)</f>
        <v>2</v>
      </c>
      <c r="N88" s="1" t="s">
        <v>54</v>
      </c>
      <c r="O88" s="1" cm="1">
        <f t="array" ref="O88">_xlfn.SWITCH(N88,"Less than 4 hours",3,"4 - 6 hours",5,"6 - 8 hours",7,"More than 8 hours",9)</f>
        <v>5</v>
      </c>
      <c r="P88" s="1" t="s">
        <v>59</v>
      </c>
      <c r="Q88" s="1" cm="1">
        <f t="array" ref="Q88">_xlfn.IFS(
    P88="Less than 1 hour", 1,
    P88="1-2 hours", 2,
    P88="2-4 hours", 3,
    P88="More than 4 hours", 4
)</f>
        <v>2</v>
      </c>
      <c r="R88" s="1" t="s">
        <v>29</v>
      </c>
      <c r="S88" s="1" cm="1">
        <f t="array" ref="S88">_xlfn.IFS(
    R88="Never", 1,
    R88="Rarely", 2,
    R88="Once a week", 3,
    R88="A few times a week", 4,
    R88="Daily", 5
)</f>
        <v>3</v>
      </c>
      <c r="T88" s="1" t="s">
        <v>60</v>
      </c>
      <c r="U88" s="1" t="s">
        <v>36</v>
      </c>
      <c r="V88" s="1" t="s">
        <v>37</v>
      </c>
      <c r="W88" s="1" t="s">
        <v>38</v>
      </c>
      <c r="X88" s="1" t="s">
        <v>39</v>
      </c>
      <c r="Y88" s="1" t="s">
        <v>46</v>
      </c>
    </row>
    <row r="89" spans="1:25" x14ac:dyDescent="0.3">
      <c r="A89" s="1" t="s">
        <v>171</v>
      </c>
      <c r="B89" s="1" t="s">
        <v>119</v>
      </c>
      <c r="C89" s="1" t="s">
        <v>122</v>
      </c>
      <c r="D89" s="1" t="s">
        <v>107</v>
      </c>
      <c r="E89" s="1" t="s">
        <v>58</v>
      </c>
      <c r="F89" s="1" t="s">
        <v>49</v>
      </c>
      <c r="G89" s="1" t="s">
        <v>34</v>
      </c>
      <c r="H89" s="1">
        <f t="shared" si="1"/>
        <v>2</v>
      </c>
      <c r="I89" s="1" t="s">
        <v>42</v>
      </c>
      <c r="J89" s="1" cm="1">
        <f t="array" ref="J89">_xlfn.SWITCH(I89,"No",0,"Not Sure",1,"Yes",2)</f>
        <v>0</v>
      </c>
      <c r="K89" s="1">
        <v>4</v>
      </c>
      <c r="L89" s="1" t="s">
        <v>42</v>
      </c>
      <c r="M89" s="1" cm="1">
        <f t="array" ref="M89">_xlfn.SWITCH(L89,"No",0,"Not Sure",1,"Yes",2)</f>
        <v>0</v>
      </c>
      <c r="N89" s="1" t="s">
        <v>32</v>
      </c>
      <c r="O89" s="1" cm="1">
        <f t="array" ref="O89">_xlfn.SWITCH(N89,"Less than 4 hours",3,"4 - 6 hours",5,"6 - 8 hours",7,"More than 8 hours",9)</f>
        <v>7</v>
      </c>
      <c r="P89" s="1" t="s">
        <v>43</v>
      </c>
      <c r="Q89" s="1" cm="1">
        <f t="array" ref="Q89">_xlfn.IFS(
    P89="Less than 1 hour", 1,
    P89="1-2 hours", 2,
    P89="2-4 hours", 3,
    P89="More than 4 hours", 4
)</f>
        <v>3</v>
      </c>
      <c r="R89" s="1" t="s">
        <v>44</v>
      </c>
      <c r="S89" s="1" cm="1">
        <f t="array" ref="S89">_xlfn.IFS(
    R89="Never", 1,
    R89="Rarely", 2,
    R89="Once a week", 3,
    R89="A few times a week", 4,
    R89="Daily", 5
)</f>
        <v>5</v>
      </c>
      <c r="T89" s="1" t="s">
        <v>35</v>
      </c>
      <c r="U89" s="1" t="s">
        <v>63</v>
      </c>
      <c r="V89" s="1" t="s">
        <v>37</v>
      </c>
      <c r="W89" s="1" t="s">
        <v>38</v>
      </c>
      <c r="X89" s="1" t="s">
        <v>87</v>
      </c>
      <c r="Y89" s="1" t="s">
        <v>52</v>
      </c>
    </row>
    <row r="90" spans="1:25" x14ac:dyDescent="0.3">
      <c r="A90" s="1" t="s">
        <v>172</v>
      </c>
      <c r="B90" s="1" t="s">
        <v>116</v>
      </c>
      <c r="C90" s="1" t="s">
        <v>125</v>
      </c>
      <c r="D90" s="1" t="s">
        <v>48</v>
      </c>
      <c r="E90" s="1" t="s">
        <v>27</v>
      </c>
      <c r="F90" s="1" t="s">
        <v>28</v>
      </c>
      <c r="G90" s="1" t="s">
        <v>69</v>
      </c>
      <c r="H90" s="1">
        <f t="shared" si="1"/>
        <v>4</v>
      </c>
      <c r="I90" s="1" t="s">
        <v>30</v>
      </c>
      <c r="J90" s="1" cm="1">
        <f t="array" ref="J90">_xlfn.SWITCH(I90,"No",0,"Not Sure",1,"Yes",2)</f>
        <v>2</v>
      </c>
      <c r="K90" s="1">
        <v>2</v>
      </c>
      <c r="L90" s="1" t="s">
        <v>30</v>
      </c>
      <c r="M90" s="1" cm="1">
        <f t="array" ref="M90">_xlfn.SWITCH(L90,"No",0,"Not Sure",1,"Yes",2)</f>
        <v>2</v>
      </c>
      <c r="N90" s="1" t="s">
        <v>54</v>
      </c>
      <c r="O90" s="1" cm="1">
        <f t="array" ref="O90">_xlfn.SWITCH(N90,"Less than 4 hours",3,"4 - 6 hours",5,"6 - 8 hours",7,"More than 8 hours",9)</f>
        <v>5</v>
      </c>
      <c r="P90" s="1" t="s">
        <v>33</v>
      </c>
      <c r="Q90" s="1" cm="1">
        <f t="array" ref="Q90">_xlfn.IFS(
    P90="Less than 1 hour", 1,
    P90="1-2 hours", 2,
    P90="2-4 hours", 3,
    P90="More than 4 hours", 4
)</f>
        <v>4</v>
      </c>
      <c r="R90" s="1" t="s">
        <v>34</v>
      </c>
      <c r="S90" s="1" cm="1">
        <f t="array" ref="S90">_xlfn.IFS(
    R90="Never", 1,
    R90="Rarely", 2,
    R90="Once a week", 3,
    R90="A few times a week", 4,
    R90="Daily", 5
)</f>
        <v>2</v>
      </c>
      <c r="T90" s="1" t="s">
        <v>35</v>
      </c>
      <c r="U90" s="1" t="s">
        <v>56</v>
      </c>
      <c r="V90" s="1" t="s">
        <v>51</v>
      </c>
      <c r="W90" s="1" t="s">
        <v>38</v>
      </c>
      <c r="X90" s="1" t="s">
        <v>39</v>
      </c>
      <c r="Y90" s="1" t="s">
        <v>40</v>
      </c>
    </row>
    <row r="91" spans="1:25" x14ac:dyDescent="0.3">
      <c r="A91" s="1" t="s">
        <v>131</v>
      </c>
      <c r="B91" s="1" t="s">
        <v>83</v>
      </c>
      <c r="C91" s="1" t="s">
        <v>25</v>
      </c>
      <c r="D91" s="1" t="s">
        <v>26</v>
      </c>
      <c r="E91" s="1" t="s">
        <v>101</v>
      </c>
      <c r="F91" s="1" t="s">
        <v>49</v>
      </c>
      <c r="G91" s="1" t="s">
        <v>44</v>
      </c>
      <c r="H91" s="1">
        <f t="shared" si="1"/>
        <v>5</v>
      </c>
      <c r="I91" s="1" t="s">
        <v>30</v>
      </c>
      <c r="J91" s="1" cm="1">
        <f t="array" ref="J91">_xlfn.SWITCH(I91,"No",0,"Not Sure",1,"Yes",2)</f>
        <v>2</v>
      </c>
      <c r="K91" s="1">
        <v>1</v>
      </c>
      <c r="L91" s="1" t="s">
        <v>30</v>
      </c>
      <c r="M91" s="1" cm="1">
        <f t="array" ref="M91">_xlfn.SWITCH(L91,"No",0,"Not Sure",1,"Yes",2)</f>
        <v>2</v>
      </c>
      <c r="N91" s="1" t="s">
        <v>54</v>
      </c>
      <c r="O91" s="1" cm="1">
        <f t="array" ref="O91">_xlfn.SWITCH(N91,"Less than 4 hours",3,"4 - 6 hours",5,"6 - 8 hours",7,"More than 8 hours",9)</f>
        <v>5</v>
      </c>
      <c r="P91" s="1" t="s">
        <v>59</v>
      </c>
      <c r="Q91" s="1" cm="1">
        <f t="array" ref="Q91">_xlfn.IFS(
    P91="Less than 1 hour", 1,
    P91="1-2 hours", 2,
    P91="2-4 hours", 3,
    P91="More than 4 hours", 4
)</f>
        <v>2</v>
      </c>
      <c r="R91" s="1" t="s">
        <v>44</v>
      </c>
      <c r="S91" s="1" cm="1">
        <f t="array" ref="S91">_xlfn.IFS(
    R91="Never", 1,
    R91="Rarely", 2,
    R91="Once a week", 3,
    R91="A few times a week", 4,
    R91="Daily", 5
)</f>
        <v>5</v>
      </c>
      <c r="T91" s="1" t="s">
        <v>60</v>
      </c>
      <c r="U91" s="1" t="s">
        <v>63</v>
      </c>
      <c r="V91" s="1" t="s">
        <v>72</v>
      </c>
      <c r="W91" s="1" t="s">
        <v>38</v>
      </c>
      <c r="X91" s="1" t="s">
        <v>52</v>
      </c>
      <c r="Y91" s="1" t="s">
        <v>46</v>
      </c>
    </row>
    <row r="92" spans="1:25" x14ac:dyDescent="0.3">
      <c r="A92" s="1" t="s">
        <v>132</v>
      </c>
      <c r="B92" s="1" t="s">
        <v>24</v>
      </c>
      <c r="C92" s="1" t="s">
        <v>117</v>
      </c>
      <c r="D92" s="1" t="s">
        <v>114</v>
      </c>
      <c r="E92" s="1" t="s">
        <v>58</v>
      </c>
      <c r="F92" s="1" t="s">
        <v>28</v>
      </c>
      <c r="G92" s="1" t="s">
        <v>29</v>
      </c>
      <c r="H92" s="1">
        <f t="shared" si="1"/>
        <v>3</v>
      </c>
      <c r="I92" s="1" t="s">
        <v>31</v>
      </c>
      <c r="J92" s="1" cm="1">
        <f t="array" ref="J92">_xlfn.SWITCH(I92,"No",0,"Not Sure",1,"Yes",2)</f>
        <v>1</v>
      </c>
      <c r="K92" s="1">
        <v>3</v>
      </c>
      <c r="L92" s="1" t="s">
        <v>42</v>
      </c>
      <c r="M92" s="1" cm="1">
        <f t="array" ref="M92">_xlfn.SWITCH(L92,"No",0,"Not Sure",1,"Yes",2)</f>
        <v>0</v>
      </c>
      <c r="N92" s="1" t="s">
        <v>32</v>
      </c>
      <c r="O92" s="1" cm="1">
        <f t="array" ref="O92">_xlfn.SWITCH(N92,"Less than 4 hours",3,"4 - 6 hours",5,"6 - 8 hours",7,"More than 8 hours",9)</f>
        <v>7</v>
      </c>
      <c r="P92" s="1" t="s">
        <v>43</v>
      </c>
      <c r="Q92" s="1" cm="1">
        <f t="array" ref="Q92">_xlfn.IFS(
    P92="Less than 1 hour", 1,
    P92="1-2 hours", 2,
    P92="2-4 hours", 3,
    P92="More than 4 hours", 4
)</f>
        <v>3</v>
      </c>
      <c r="R92" s="1" t="s">
        <v>34</v>
      </c>
      <c r="S92" s="1" cm="1">
        <f t="array" ref="S92">_xlfn.IFS(
    R92="Never", 1,
    R92="Rarely", 2,
    R92="Once a week", 3,
    R92="A few times a week", 4,
    R92="Daily", 5
)</f>
        <v>2</v>
      </c>
      <c r="T92" s="1" t="s">
        <v>35</v>
      </c>
      <c r="U92" s="1" t="s">
        <v>36</v>
      </c>
      <c r="V92" s="1" t="s">
        <v>65</v>
      </c>
      <c r="W92" s="1" t="s">
        <v>38</v>
      </c>
      <c r="X92" s="1" t="s">
        <v>39</v>
      </c>
      <c r="Y92" s="1" t="s">
        <v>46</v>
      </c>
    </row>
    <row r="93" spans="1:25" x14ac:dyDescent="0.3">
      <c r="A93" s="1" t="s">
        <v>133</v>
      </c>
      <c r="B93" s="1" t="s">
        <v>119</v>
      </c>
      <c r="C93" s="1" t="s">
        <v>120</v>
      </c>
      <c r="D93" s="1" t="s">
        <v>107</v>
      </c>
      <c r="E93" s="1" t="s">
        <v>27</v>
      </c>
      <c r="F93" s="1" t="s">
        <v>49</v>
      </c>
      <c r="G93" s="1" t="s">
        <v>44</v>
      </c>
      <c r="H93" s="1">
        <f t="shared" si="1"/>
        <v>5</v>
      </c>
      <c r="I93" s="1" t="s">
        <v>30</v>
      </c>
      <c r="J93" s="1" cm="1">
        <f t="array" ref="J93">_xlfn.SWITCH(I93,"No",0,"Not Sure",1,"Yes",2)</f>
        <v>2</v>
      </c>
      <c r="K93" s="1">
        <v>2</v>
      </c>
      <c r="L93" s="1" t="s">
        <v>30</v>
      </c>
      <c r="M93" s="1" cm="1">
        <f t="array" ref="M93">_xlfn.SWITCH(L93,"No",0,"Not Sure",1,"Yes",2)</f>
        <v>2</v>
      </c>
      <c r="N93" s="1" t="s">
        <v>54</v>
      </c>
      <c r="O93" s="1" cm="1">
        <f t="array" ref="O93">_xlfn.SWITCH(N93,"Less than 4 hours",3,"4 - 6 hours",5,"6 - 8 hours",7,"More than 8 hours",9)</f>
        <v>5</v>
      </c>
      <c r="P93" s="1" t="s">
        <v>59</v>
      </c>
      <c r="Q93" s="1" cm="1">
        <f t="array" ref="Q93">_xlfn.IFS(
    P93="Less than 1 hour", 1,
    P93="1-2 hours", 2,
    P93="2-4 hours", 3,
    P93="More than 4 hours", 4
)</f>
        <v>2</v>
      </c>
      <c r="R93" s="1" t="s">
        <v>29</v>
      </c>
      <c r="S93" s="1" cm="1">
        <f t="array" ref="S93">_xlfn.IFS(
    R93="Never", 1,
    R93="Rarely", 2,
    R93="Once a week", 3,
    R93="A few times a week", 4,
    R93="Daily", 5
)</f>
        <v>3</v>
      </c>
      <c r="T93" s="1" t="s">
        <v>60</v>
      </c>
      <c r="U93" s="1" t="s">
        <v>56</v>
      </c>
      <c r="V93" s="1" t="s">
        <v>37</v>
      </c>
      <c r="W93" s="1" t="s">
        <v>38</v>
      </c>
      <c r="X93" s="1" t="s">
        <v>52</v>
      </c>
      <c r="Y93" s="1" t="s">
        <v>40</v>
      </c>
    </row>
    <row r="94" spans="1:25" x14ac:dyDescent="0.3">
      <c r="A94" s="1" t="s">
        <v>134</v>
      </c>
      <c r="B94" s="1" t="s">
        <v>116</v>
      </c>
      <c r="C94" s="1" t="s">
        <v>122</v>
      </c>
      <c r="D94" s="1" t="s">
        <v>48</v>
      </c>
      <c r="E94" s="1" t="s">
        <v>27</v>
      </c>
      <c r="F94" s="1" t="s">
        <v>28</v>
      </c>
      <c r="G94" s="1" t="s">
        <v>69</v>
      </c>
      <c r="H94" s="1">
        <f t="shared" si="1"/>
        <v>4</v>
      </c>
      <c r="I94" s="1" t="s">
        <v>42</v>
      </c>
      <c r="J94" s="1" cm="1">
        <f t="array" ref="J94">_xlfn.SWITCH(I94,"No",0,"Not Sure",1,"Yes",2)</f>
        <v>0</v>
      </c>
      <c r="K94" s="1">
        <v>4</v>
      </c>
      <c r="L94" s="1" t="s">
        <v>42</v>
      </c>
      <c r="M94" s="1" cm="1">
        <f t="array" ref="M94">_xlfn.SWITCH(L94,"No",0,"Not Sure",1,"Yes",2)</f>
        <v>0</v>
      </c>
      <c r="N94" s="1" t="s">
        <v>32</v>
      </c>
      <c r="O94" s="1" cm="1">
        <f t="array" ref="O94">_xlfn.SWITCH(N94,"Less than 4 hours",3,"4 - 6 hours",5,"6 - 8 hours",7,"More than 8 hours",9)</f>
        <v>7</v>
      </c>
      <c r="P94" s="1" t="s">
        <v>43</v>
      </c>
      <c r="Q94" s="1" cm="1">
        <f t="array" ref="Q94">_xlfn.IFS(
    P94="Less than 1 hour", 1,
    P94="1-2 hours", 2,
    P94="2-4 hours", 3,
    P94="More than 4 hours", 4
)</f>
        <v>3</v>
      </c>
      <c r="R94" s="1" t="s">
        <v>44</v>
      </c>
      <c r="S94" s="1" cm="1">
        <f t="array" ref="S94">_xlfn.IFS(
    R94="Never", 1,
    R94="Rarely", 2,
    R94="Once a week", 3,
    R94="A few times a week", 4,
    R94="Daily", 5
)</f>
        <v>5</v>
      </c>
      <c r="T94" s="1" t="s">
        <v>35</v>
      </c>
      <c r="U94" s="1" t="s">
        <v>63</v>
      </c>
      <c r="V94" s="1" t="s">
        <v>94</v>
      </c>
      <c r="W94" s="1" t="s">
        <v>38</v>
      </c>
      <c r="X94" s="1" t="s">
        <v>87</v>
      </c>
      <c r="Y94" s="1" t="s">
        <v>87</v>
      </c>
    </row>
    <row r="95" spans="1:25" x14ac:dyDescent="0.3">
      <c r="A95" s="1" t="s">
        <v>135</v>
      </c>
      <c r="B95" s="1" t="s">
        <v>83</v>
      </c>
      <c r="C95" s="1" t="s">
        <v>125</v>
      </c>
      <c r="D95" s="1" t="s">
        <v>107</v>
      </c>
      <c r="E95" s="1" t="s">
        <v>58</v>
      </c>
      <c r="F95" s="1" t="s">
        <v>49</v>
      </c>
      <c r="G95" s="1" t="s">
        <v>34</v>
      </c>
      <c r="H95" s="1">
        <f t="shared" si="1"/>
        <v>2</v>
      </c>
      <c r="I95" s="1" t="s">
        <v>30</v>
      </c>
      <c r="J95" s="1" cm="1">
        <f t="array" ref="J95">_xlfn.SWITCH(I95,"No",0,"Not Sure",1,"Yes",2)</f>
        <v>2</v>
      </c>
      <c r="K95" s="1">
        <v>3</v>
      </c>
      <c r="L95" s="1" t="s">
        <v>30</v>
      </c>
      <c r="M95" s="1" cm="1">
        <f t="array" ref="M95">_xlfn.SWITCH(L95,"No",0,"Not Sure",1,"Yes",2)</f>
        <v>2</v>
      </c>
      <c r="N95" s="1" t="s">
        <v>54</v>
      </c>
      <c r="O95" s="1" cm="1">
        <f t="array" ref="O95">_xlfn.SWITCH(N95,"Less than 4 hours",3,"4 - 6 hours",5,"6 - 8 hours",7,"More than 8 hours",9)</f>
        <v>5</v>
      </c>
      <c r="P95" s="1" t="s">
        <v>59</v>
      </c>
      <c r="Q95" s="1" cm="1">
        <f t="array" ref="Q95">_xlfn.IFS(
    P95="Less than 1 hour", 1,
    P95="1-2 hours", 2,
    P95="2-4 hours", 3,
    P95="More than 4 hours", 4
)</f>
        <v>2</v>
      </c>
      <c r="R95" s="1" t="s">
        <v>34</v>
      </c>
      <c r="S95" s="1" cm="1">
        <f t="array" ref="S95">_xlfn.IFS(
    R95="Never", 1,
    R95="Rarely", 2,
    R95="Once a week", 3,
    R95="A few times a week", 4,
    R95="Daily", 5
)</f>
        <v>2</v>
      </c>
      <c r="T95" s="1" t="s">
        <v>60</v>
      </c>
      <c r="U95" s="1" t="s">
        <v>36</v>
      </c>
      <c r="V95" s="1" t="s">
        <v>51</v>
      </c>
      <c r="W95" s="1" t="s">
        <v>38</v>
      </c>
      <c r="X95" s="1" t="s">
        <v>136</v>
      </c>
      <c r="Y95" s="1" t="s">
        <v>46</v>
      </c>
    </row>
    <row r="96" spans="1:25" x14ac:dyDescent="0.3">
      <c r="A96" s="1" t="s">
        <v>137</v>
      </c>
      <c r="B96" s="1" t="s">
        <v>24</v>
      </c>
      <c r="C96" s="1" t="s">
        <v>84</v>
      </c>
      <c r="D96" s="1" t="s">
        <v>26</v>
      </c>
      <c r="E96" s="1" t="s">
        <v>27</v>
      </c>
      <c r="F96" s="1" t="s">
        <v>28</v>
      </c>
      <c r="G96" s="1" t="s">
        <v>44</v>
      </c>
      <c r="H96" s="1">
        <f t="shared" si="1"/>
        <v>5</v>
      </c>
      <c r="I96" s="1" t="s">
        <v>30</v>
      </c>
      <c r="J96" s="1" cm="1">
        <f t="array" ref="J96">_xlfn.SWITCH(I96,"No",0,"Not Sure",1,"Yes",2)</f>
        <v>2</v>
      </c>
      <c r="K96" s="1">
        <v>2</v>
      </c>
      <c r="L96" s="1" t="s">
        <v>30</v>
      </c>
      <c r="M96" s="1" cm="1">
        <f t="array" ref="M96">_xlfn.SWITCH(L96,"No",0,"Not Sure",1,"Yes",2)</f>
        <v>2</v>
      </c>
      <c r="N96" s="1" t="s">
        <v>32</v>
      </c>
      <c r="O96" s="1" cm="1">
        <f t="array" ref="O96">_xlfn.SWITCH(N96,"Less than 4 hours",3,"4 - 6 hours",5,"6 - 8 hours",7,"More than 8 hours",9)</f>
        <v>7</v>
      </c>
      <c r="P96" s="1" t="s">
        <v>43</v>
      </c>
      <c r="Q96" s="1" cm="1">
        <f t="array" ref="Q96">_xlfn.IFS(
    P96="Less than 1 hour", 1,
    P96="1-2 hours", 2,
    P96="2-4 hours", 3,
    P96="More than 4 hours", 4
)</f>
        <v>3</v>
      </c>
      <c r="R96" s="1" t="s">
        <v>29</v>
      </c>
      <c r="S96" s="1" cm="1">
        <f t="array" ref="S96">_xlfn.IFS(
    R96="Never", 1,
    R96="Rarely", 2,
    R96="Once a week", 3,
    R96="A few times a week", 4,
    R96="Daily", 5
)</f>
        <v>3</v>
      </c>
      <c r="T96" s="1" t="s">
        <v>35</v>
      </c>
      <c r="U96" s="1" t="s">
        <v>138</v>
      </c>
      <c r="V96" s="1" t="s">
        <v>37</v>
      </c>
      <c r="W96" s="1" t="s">
        <v>38</v>
      </c>
      <c r="X96" s="1" t="s">
        <v>52</v>
      </c>
      <c r="Y96" s="1" t="s">
        <v>87</v>
      </c>
    </row>
    <row r="97" spans="1:25" x14ac:dyDescent="0.3">
      <c r="A97" s="1" t="s">
        <v>139</v>
      </c>
      <c r="B97" s="1" t="s">
        <v>119</v>
      </c>
      <c r="C97" s="1" t="s">
        <v>25</v>
      </c>
      <c r="D97" s="1" t="s">
        <v>48</v>
      </c>
      <c r="E97" s="1" t="s">
        <v>58</v>
      </c>
      <c r="F97" s="1" t="s">
        <v>49</v>
      </c>
      <c r="G97" s="1" t="s">
        <v>29</v>
      </c>
      <c r="H97" s="1">
        <f t="shared" si="1"/>
        <v>3</v>
      </c>
      <c r="I97" s="1" t="s">
        <v>42</v>
      </c>
      <c r="J97" s="1" cm="1">
        <f t="array" ref="J97">_xlfn.SWITCH(I97,"No",0,"Not Sure",1,"Yes",2)</f>
        <v>0</v>
      </c>
      <c r="K97" s="1">
        <v>5</v>
      </c>
      <c r="L97" s="1" t="s">
        <v>42</v>
      </c>
      <c r="M97" s="1" cm="1">
        <f t="array" ref="M97">_xlfn.SWITCH(L97,"No",0,"Not Sure",1,"Yes",2)</f>
        <v>0</v>
      </c>
      <c r="N97" s="1" t="s">
        <v>32</v>
      </c>
      <c r="O97" s="1" cm="1">
        <f t="array" ref="O97">_xlfn.SWITCH(N97,"Less than 4 hours",3,"4 - 6 hours",5,"6 - 8 hours",7,"More than 8 hours",9)</f>
        <v>7</v>
      </c>
      <c r="P97" s="1" t="s">
        <v>43</v>
      </c>
      <c r="Q97" s="1" cm="1">
        <f t="array" ref="Q97">_xlfn.IFS(
    P97="Less than 1 hour", 1,
    P97="1-2 hours", 2,
    P97="2-4 hours", 3,
    P97="More than 4 hours", 4
)</f>
        <v>3</v>
      </c>
      <c r="R97" s="1" t="s">
        <v>34</v>
      </c>
      <c r="S97" s="1" cm="1">
        <f t="array" ref="S97">_xlfn.IFS(
    R97="Never", 1,
    R97="Rarely", 2,
    R97="Once a week", 3,
    R97="A few times a week", 4,
    R97="Daily", 5
)</f>
        <v>2</v>
      </c>
      <c r="T97" s="1" t="s">
        <v>55</v>
      </c>
      <c r="U97" s="1" t="s">
        <v>36</v>
      </c>
      <c r="V97" s="1" t="s">
        <v>51</v>
      </c>
      <c r="W97" s="1" t="s">
        <v>38</v>
      </c>
      <c r="X97" s="1" t="s">
        <v>140</v>
      </c>
      <c r="Y97" s="1" t="s">
        <v>141</v>
      </c>
    </row>
    <row r="98" spans="1:25" x14ac:dyDescent="0.3">
      <c r="A98" s="1" t="s">
        <v>142</v>
      </c>
      <c r="B98" s="1" t="s">
        <v>116</v>
      </c>
      <c r="C98" s="1" t="s">
        <v>117</v>
      </c>
      <c r="D98" s="1" t="s">
        <v>107</v>
      </c>
      <c r="E98" s="1" t="s">
        <v>27</v>
      </c>
      <c r="F98" s="1" t="s">
        <v>28</v>
      </c>
      <c r="G98" s="1" t="s">
        <v>34</v>
      </c>
      <c r="H98" s="1">
        <f t="shared" si="1"/>
        <v>2</v>
      </c>
      <c r="I98" s="1" t="s">
        <v>31</v>
      </c>
      <c r="J98" s="1" cm="1">
        <f t="array" ref="J98">_xlfn.SWITCH(I98,"No",0,"Not Sure",1,"Yes",2)</f>
        <v>1</v>
      </c>
      <c r="K98" s="1">
        <v>3</v>
      </c>
      <c r="L98" s="1" t="s">
        <v>30</v>
      </c>
      <c r="M98" s="1" cm="1">
        <f t="array" ref="M98">_xlfn.SWITCH(L98,"No",0,"Not Sure",1,"Yes",2)</f>
        <v>2</v>
      </c>
      <c r="N98" s="1" t="s">
        <v>54</v>
      </c>
      <c r="O98" s="1" cm="1">
        <f t="array" ref="O98">_xlfn.SWITCH(N98,"Less than 4 hours",3,"4 - 6 hours",5,"6 - 8 hours",7,"More than 8 hours",9)</f>
        <v>5</v>
      </c>
      <c r="P98" s="1" t="s">
        <v>59</v>
      </c>
      <c r="Q98" s="1" cm="1">
        <f t="array" ref="Q98">_xlfn.IFS(
    P98="Less than 1 hour", 1,
    P98="1-2 hours", 2,
    P98="2-4 hours", 3,
    P98="More than 4 hours", 4
)</f>
        <v>2</v>
      </c>
      <c r="R98" s="1" t="s">
        <v>29</v>
      </c>
      <c r="S98" s="1" cm="1">
        <f t="array" ref="S98">_xlfn.IFS(
    R98="Never", 1,
    R98="Rarely", 2,
    R98="Once a week", 3,
    R98="A few times a week", 4,
    R98="Daily", 5
)</f>
        <v>3</v>
      </c>
      <c r="T98" s="1" t="s">
        <v>35</v>
      </c>
      <c r="U98" s="1" t="s">
        <v>63</v>
      </c>
      <c r="V98" s="1" t="s">
        <v>65</v>
      </c>
      <c r="W98" s="1" t="s">
        <v>38</v>
      </c>
      <c r="X98" s="1" t="s">
        <v>136</v>
      </c>
      <c r="Y98" s="1" t="s">
        <v>87</v>
      </c>
    </row>
    <row r="99" spans="1:25" x14ac:dyDescent="0.3">
      <c r="A99" s="1" t="s">
        <v>143</v>
      </c>
      <c r="B99" s="1" t="s">
        <v>83</v>
      </c>
      <c r="C99" s="1" t="s">
        <v>120</v>
      </c>
      <c r="D99" s="1" t="s">
        <v>26</v>
      </c>
      <c r="E99" s="1" t="s">
        <v>101</v>
      </c>
      <c r="F99" s="1" t="s">
        <v>49</v>
      </c>
      <c r="G99" s="1" t="s">
        <v>44</v>
      </c>
      <c r="H99" s="1">
        <f t="shared" si="1"/>
        <v>5</v>
      </c>
      <c r="I99" s="1" t="s">
        <v>30</v>
      </c>
      <c r="J99" s="1" cm="1">
        <f t="array" ref="J99">_xlfn.SWITCH(I99,"No",0,"Not Sure",1,"Yes",2)</f>
        <v>2</v>
      </c>
      <c r="K99" s="1">
        <v>1</v>
      </c>
      <c r="L99" s="1" t="s">
        <v>30</v>
      </c>
      <c r="M99" s="1" cm="1">
        <f t="array" ref="M99">_xlfn.SWITCH(L99,"No",0,"Not Sure",1,"Yes",2)</f>
        <v>2</v>
      </c>
      <c r="N99" s="1" t="s">
        <v>54</v>
      </c>
      <c r="O99" s="1" cm="1">
        <f t="array" ref="O99">_xlfn.SWITCH(N99,"Less than 4 hours",3,"4 - 6 hours",5,"6 - 8 hours",7,"More than 8 hours",9)</f>
        <v>5</v>
      </c>
      <c r="P99" s="1" t="s">
        <v>59</v>
      </c>
      <c r="Q99" s="1" cm="1">
        <f t="array" ref="Q99">_xlfn.IFS(
    P99="Less than 1 hour", 1,
    P99="1-2 hours", 2,
    P99="2-4 hours", 3,
    P99="More than 4 hours", 4
)</f>
        <v>2</v>
      </c>
      <c r="R99" s="1" t="s">
        <v>34</v>
      </c>
      <c r="S99" s="1" cm="1">
        <f t="array" ref="S99">_xlfn.IFS(
    R99="Never", 1,
    R99="Rarely", 2,
    R99="Once a week", 3,
    R99="A few times a week", 4,
    R99="Daily", 5
)</f>
        <v>2</v>
      </c>
      <c r="T99" s="1" t="s">
        <v>60</v>
      </c>
      <c r="U99" s="1" t="s">
        <v>56</v>
      </c>
      <c r="V99" s="1" t="s">
        <v>37</v>
      </c>
      <c r="W99" s="1" t="s">
        <v>38</v>
      </c>
      <c r="X99" s="1" t="s">
        <v>140</v>
      </c>
      <c r="Y99" s="1" t="s">
        <v>46</v>
      </c>
    </row>
    <row r="100" spans="1:25" x14ac:dyDescent="0.3">
      <c r="A100" s="1" t="s">
        <v>144</v>
      </c>
      <c r="B100" s="1" t="s">
        <v>24</v>
      </c>
      <c r="C100" s="1" t="s">
        <v>122</v>
      </c>
      <c r="D100" s="1" t="s">
        <v>114</v>
      </c>
      <c r="E100" s="1" t="s">
        <v>58</v>
      </c>
      <c r="F100" s="1" t="s">
        <v>28</v>
      </c>
      <c r="G100" s="1" t="s">
        <v>69</v>
      </c>
      <c r="H100" s="1">
        <f t="shared" si="1"/>
        <v>4</v>
      </c>
      <c r="I100" s="1" t="s">
        <v>30</v>
      </c>
      <c r="J100" s="1" cm="1">
        <f t="array" ref="J100">_xlfn.SWITCH(I100,"No",0,"Not Sure",1,"Yes",2)</f>
        <v>2</v>
      </c>
      <c r="K100" s="1">
        <v>2</v>
      </c>
      <c r="L100" s="1" t="s">
        <v>30</v>
      </c>
      <c r="M100" s="1" cm="1">
        <f t="array" ref="M100">_xlfn.SWITCH(L100,"No",0,"Not Sure",1,"Yes",2)</f>
        <v>2</v>
      </c>
      <c r="N100" s="1" t="s">
        <v>32</v>
      </c>
      <c r="O100" s="1" cm="1">
        <f t="array" ref="O100">_xlfn.SWITCH(N100,"Less than 4 hours",3,"4 - 6 hours",5,"6 - 8 hours",7,"More than 8 hours",9)</f>
        <v>7</v>
      </c>
      <c r="P100" s="1" t="s">
        <v>43</v>
      </c>
      <c r="Q100" s="1" cm="1">
        <f t="array" ref="Q100">_xlfn.IFS(
    P100="Less than 1 hour", 1,
    P100="1-2 hours", 2,
    P100="2-4 hours", 3,
    P100="More than 4 hours", 4
)</f>
        <v>3</v>
      </c>
      <c r="R100" s="1" t="s">
        <v>34</v>
      </c>
      <c r="S100" s="1" cm="1">
        <f t="array" ref="S100">_xlfn.IFS(
    R100="Never", 1,
    R100="Rarely", 2,
    R100="Once a week", 3,
    R100="A few times a week", 4,
    R100="Daily", 5
)</f>
        <v>2</v>
      </c>
      <c r="T100" s="1" t="s">
        <v>35</v>
      </c>
      <c r="U100" s="1" t="s">
        <v>36</v>
      </c>
      <c r="V100" s="1" t="s">
        <v>94</v>
      </c>
      <c r="W100" s="1" t="s">
        <v>38</v>
      </c>
      <c r="X100" s="1" t="s">
        <v>52</v>
      </c>
      <c r="Y100" s="1" t="s">
        <v>141</v>
      </c>
    </row>
    <row r="101" spans="1:25" x14ac:dyDescent="0.3">
      <c r="A101" s="1" t="s">
        <v>145</v>
      </c>
      <c r="B101" s="1" t="s">
        <v>119</v>
      </c>
      <c r="C101" s="1" t="s">
        <v>125</v>
      </c>
      <c r="D101" s="1" t="s">
        <v>48</v>
      </c>
      <c r="E101" s="1" t="s">
        <v>27</v>
      </c>
      <c r="F101" s="1" t="s">
        <v>49</v>
      </c>
      <c r="G101" s="1" t="s">
        <v>29</v>
      </c>
      <c r="H101" s="1">
        <f t="shared" si="1"/>
        <v>3</v>
      </c>
      <c r="I101" s="1" t="s">
        <v>42</v>
      </c>
      <c r="J101" s="1" cm="1">
        <f t="array" ref="J101">_xlfn.SWITCH(I101,"No",0,"Not Sure",1,"Yes",2)</f>
        <v>0</v>
      </c>
      <c r="K101" s="1">
        <v>4</v>
      </c>
      <c r="L101" s="1" t="s">
        <v>42</v>
      </c>
      <c r="M101" s="1" cm="1">
        <f t="array" ref="M101">_xlfn.SWITCH(L101,"No",0,"Not Sure",1,"Yes",2)</f>
        <v>0</v>
      </c>
      <c r="N101" s="1" t="s">
        <v>32</v>
      </c>
      <c r="O101" s="1" cm="1">
        <f t="array" ref="O101">_xlfn.SWITCH(N101,"Less than 4 hours",3,"4 - 6 hours",5,"6 - 8 hours",7,"More than 8 hours",9)</f>
        <v>7</v>
      </c>
      <c r="P101" s="1" t="s">
        <v>43</v>
      </c>
      <c r="Q101" s="1" cm="1">
        <f t="array" ref="Q101">_xlfn.IFS(
    P101="Less than 1 hour", 1,
    P101="1-2 hours", 2,
    P101="2-4 hours", 3,
    P101="More than 4 hours", 4
)</f>
        <v>3</v>
      </c>
      <c r="R101" s="1" t="s">
        <v>44</v>
      </c>
      <c r="S101" s="1" cm="1">
        <f t="array" ref="S101">_xlfn.IFS(
    R101="Never", 1,
    R101="Rarely", 2,
    R101="Once a week", 3,
    R101="A few times a week", 4,
    R101="Daily", 5
)</f>
        <v>5</v>
      </c>
      <c r="T101" s="1" t="s">
        <v>146</v>
      </c>
      <c r="U101" s="1" t="s">
        <v>63</v>
      </c>
      <c r="V101" s="1" t="s">
        <v>45</v>
      </c>
      <c r="W101" s="1" t="s">
        <v>38</v>
      </c>
      <c r="X101" s="1" t="s">
        <v>140</v>
      </c>
      <c r="Y101" s="1" t="s">
        <v>87</v>
      </c>
    </row>
    <row r="102" spans="1:25" x14ac:dyDescent="0.3">
      <c r="A102" s="1" t="s">
        <v>147</v>
      </c>
      <c r="B102" s="1" t="s">
        <v>116</v>
      </c>
      <c r="C102" s="1" t="s">
        <v>84</v>
      </c>
      <c r="D102" s="1" t="s">
        <v>107</v>
      </c>
      <c r="E102" s="1" t="s">
        <v>27</v>
      </c>
      <c r="F102" s="1" t="s">
        <v>28</v>
      </c>
      <c r="G102" s="1" t="s">
        <v>34</v>
      </c>
      <c r="H102" s="1">
        <f t="shared" si="1"/>
        <v>2</v>
      </c>
      <c r="I102" s="1" t="s">
        <v>30</v>
      </c>
      <c r="J102" s="1" cm="1">
        <f t="array" ref="J102">_xlfn.SWITCH(I102,"No",0,"Not Sure",1,"Yes",2)</f>
        <v>2</v>
      </c>
      <c r="K102" s="1">
        <v>5</v>
      </c>
      <c r="L102" s="1" t="s">
        <v>30</v>
      </c>
      <c r="M102" s="1" cm="1">
        <f t="array" ref="M102">_xlfn.SWITCH(L102,"No",0,"Not Sure",1,"Yes",2)</f>
        <v>2</v>
      </c>
      <c r="N102" s="1" t="s">
        <v>32</v>
      </c>
      <c r="O102" s="1" cm="1">
        <f t="array" ref="O102">_xlfn.SWITCH(N102,"Less than 4 hours",3,"4 - 6 hours",5,"6 - 8 hours",7,"More than 8 hours",9)</f>
        <v>7</v>
      </c>
      <c r="P102" s="1" t="s">
        <v>59</v>
      </c>
      <c r="Q102" s="1" cm="1">
        <f t="array" ref="Q102">_xlfn.IFS(
    P102="Less than 1 hour", 1,
    P102="1-2 hours", 2,
    P102="2-4 hours", 3,
    P102="More than 4 hours", 4
)</f>
        <v>2</v>
      </c>
      <c r="R102" s="1" t="s">
        <v>34</v>
      </c>
      <c r="S102" s="1" cm="1">
        <f t="array" ref="S102">_xlfn.IFS(
    R102="Never", 1,
    R102="Rarely", 2,
    R102="Once a week", 3,
    R102="A few times a week", 4,
    R102="Daily", 5
)</f>
        <v>2</v>
      </c>
      <c r="T102" s="1" t="s">
        <v>55</v>
      </c>
      <c r="U102" s="1" t="s">
        <v>36</v>
      </c>
      <c r="V102" s="1" t="s">
        <v>37</v>
      </c>
      <c r="W102" s="1" t="s">
        <v>38</v>
      </c>
      <c r="X102" s="1" t="s">
        <v>52</v>
      </c>
      <c r="Y102" s="1" t="s">
        <v>141</v>
      </c>
    </row>
    <row r="103" spans="1:25" x14ac:dyDescent="0.3">
      <c r="A103" s="1" t="s">
        <v>160</v>
      </c>
      <c r="B103" s="1" t="s">
        <v>83</v>
      </c>
      <c r="C103" s="1" t="s">
        <v>25</v>
      </c>
      <c r="D103" s="1" t="s">
        <v>26</v>
      </c>
      <c r="E103" s="1" t="s">
        <v>101</v>
      </c>
      <c r="F103" s="1" t="s">
        <v>49</v>
      </c>
      <c r="G103" s="1" t="s">
        <v>44</v>
      </c>
      <c r="H103" s="1">
        <f t="shared" si="1"/>
        <v>5</v>
      </c>
      <c r="I103" s="1" t="s">
        <v>30</v>
      </c>
      <c r="J103" s="1" cm="1">
        <f t="array" ref="J103">_xlfn.SWITCH(I103,"No",0,"Not Sure",1,"Yes",2)</f>
        <v>2</v>
      </c>
      <c r="K103" s="1">
        <v>1</v>
      </c>
      <c r="L103" s="1" t="s">
        <v>30</v>
      </c>
      <c r="M103" s="1" cm="1">
        <f t="array" ref="M103">_xlfn.SWITCH(L103,"No",0,"Not Sure",1,"Yes",2)</f>
        <v>2</v>
      </c>
      <c r="N103" s="1" t="s">
        <v>54</v>
      </c>
      <c r="O103" s="1" cm="1">
        <f t="array" ref="O103">_xlfn.SWITCH(N103,"Less than 4 hours",3,"4 - 6 hours",5,"6 - 8 hours",7,"More than 8 hours",9)</f>
        <v>5</v>
      </c>
      <c r="P103" s="1" t="s">
        <v>43</v>
      </c>
      <c r="Q103" s="1" cm="1">
        <f t="array" ref="Q103">_xlfn.IFS(
    P103="Less than 1 hour", 1,
    P103="1-2 hours", 2,
    P103="2-4 hours", 3,
    P103="More than 4 hours", 4
)</f>
        <v>3</v>
      </c>
      <c r="R103" s="1" t="s">
        <v>44</v>
      </c>
      <c r="S103" s="1" cm="1">
        <f t="array" ref="S103">_xlfn.IFS(
    R103="Never", 1,
    R103="Rarely", 2,
    R103="Once a week", 3,
    R103="A few times a week", 4,
    R103="Daily", 5
)</f>
        <v>5</v>
      </c>
      <c r="T103" s="1" t="s">
        <v>60</v>
      </c>
      <c r="U103" s="1" t="s">
        <v>56</v>
      </c>
      <c r="V103" s="1" t="s">
        <v>72</v>
      </c>
      <c r="W103" s="1" t="s">
        <v>38</v>
      </c>
      <c r="X103" s="1" t="s">
        <v>140</v>
      </c>
      <c r="Y103" s="1" t="s">
        <v>46</v>
      </c>
    </row>
    <row r="104" spans="1:25" x14ac:dyDescent="0.3">
      <c r="A104" s="1" t="s">
        <v>161</v>
      </c>
      <c r="B104" s="1" t="s">
        <v>24</v>
      </c>
      <c r="C104" s="1" t="s">
        <v>117</v>
      </c>
      <c r="D104" s="1" t="s">
        <v>114</v>
      </c>
      <c r="E104" s="1" t="s">
        <v>58</v>
      </c>
      <c r="F104" s="1" t="s">
        <v>28</v>
      </c>
      <c r="G104" s="1" t="s">
        <v>69</v>
      </c>
      <c r="H104" s="1">
        <f t="shared" si="1"/>
        <v>4</v>
      </c>
      <c r="I104" s="1" t="s">
        <v>42</v>
      </c>
      <c r="J104" s="1" cm="1">
        <f t="array" ref="J104">_xlfn.SWITCH(I104,"No",0,"Not Sure",1,"Yes",2)</f>
        <v>0</v>
      </c>
      <c r="K104" s="1">
        <v>3</v>
      </c>
      <c r="L104" s="1" t="s">
        <v>42</v>
      </c>
      <c r="M104" s="1" cm="1">
        <f t="array" ref="M104">_xlfn.SWITCH(L104,"No",0,"Not Sure",1,"Yes",2)</f>
        <v>0</v>
      </c>
      <c r="N104" s="1" t="s">
        <v>32</v>
      </c>
      <c r="O104" s="1" cm="1">
        <f t="array" ref="O104">_xlfn.SWITCH(N104,"Less than 4 hours",3,"4 - 6 hours",5,"6 - 8 hours",7,"More than 8 hours",9)</f>
        <v>7</v>
      </c>
      <c r="P104" s="1" t="s">
        <v>43</v>
      </c>
      <c r="Q104" s="1" cm="1">
        <f t="array" ref="Q104">_xlfn.IFS(
    P104="Less than 1 hour", 1,
    P104="1-2 hours", 2,
    P104="2-4 hours", 3,
    P104="More than 4 hours", 4
)</f>
        <v>3</v>
      </c>
      <c r="R104" s="1" t="s">
        <v>80</v>
      </c>
      <c r="S104" s="1" cm="1">
        <f t="array" ref="S104">_xlfn.IFS(
    R104="Never", 1,
    R104="Rarely", 2,
    R104="Once a week", 3,
    R104="A few times a week", 4,
    R104="Daily", 5
)</f>
        <v>4</v>
      </c>
      <c r="T104" s="1" t="s">
        <v>35</v>
      </c>
      <c r="U104" s="1" t="s">
        <v>138</v>
      </c>
      <c r="V104" s="1" t="s">
        <v>51</v>
      </c>
      <c r="W104" s="1" t="s">
        <v>38</v>
      </c>
      <c r="X104" s="1" t="s">
        <v>136</v>
      </c>
      <c r="Y104" s="1" t="s">
        <v>87</v>
      </c>
    </row>
    <row r="105" spans="1:25" x14ac:dyDescent="0.3">
      <c r="A105" s="1" t="s">
        <v>173</v>
      </c>
      <c r="B105" s="1" t="s">
        <v>24</v>
      </c>
      <c r="C105" s="1" t="s">
        <v>25</v>
      </c>
      <c r="D105" s="1" t="s">
        <v>114</v>
      </c>
      <c r="E105" s="1" t="s">
        <v>58</v>
      </c>
      <c r="F105" s="1" t="s">
        <v>49</v>
      </c>
      <c r="G105" s="1" t="s">
        <v>44</v>
      </c>
      <c r="H105" s="1">
        <f t="shared" si="1"/>
        <v>5</v>
      </c>
      <c r="I105" s="1" t="s">
        <v>30</v>
      </c>
      <c r="J105" s="1" cm="1">
        <f t="array" ref="J105">_xlfn.SWITCH(I105,"No",0,"Not Sure",1,"Yes",2)</f>
        <v>2</v>
      </c>
      <c r="K105" s="1">
        <v>2</v>
      </c>
      <c r="L105" s="1" t="s">
        <v>30</v>
      </c>
      <c r="M105" s="1" cm="1">
        <f t="array" ref="M105">_xlfn.SWITCH(L105,"No",0,"Not Sure",1,"Yes",2)</f>
        <v>2</v>
      </c>
      <c r="N105" s="1" t="s">
        <v>54</v>
      </c>
      <c r="O105" s="1" cm="1">
        <f t="array" ref="O105">_xlfn.SWITCH(N105,"Less than 4 hours",3,"4 - 6 hours",5,"6 - 8 hours",7,"More than 8 hours",9)</f>
        <v>5</v>
      </c>
      <c r="P105" s="1" t="s">
        <v>43</v>
      </c>
      <c r="Q105" s="1" cm="1">
        <f t="array" ref="Q105">_xlfn.IFS(
    P105="Less than 1 hour", 1,
    P105="1-2 hours", 2,
    P105="2-4 hours", 3,
    P105="More than 4 hours", 4
)</f>
        <v>3</v>
      </c>
      <c r="R105" s="1" t="s">
        <v>34</v>
      </c>
      <c r="S105" s="1" cm="1">
        <f t="array" ref="S105">_xlfn.IFS(
    R105="Never", 1,
    R105="Rarely", 2,
    R105="Once a week", 3,
    R105="A few times a week", 4,
    R105="Daily", 5
)</f>
        <v>2</v>
      </c>
      <c r="T105" s="1" t="s">
        <v>60</v>
      </c>
      <c r="U105" s="1" t="s">
        <v>36</v>
      </c>
      <c r="V105" s="1" t="s">
        <v>51</v>
      </c>
      <c r="W105" s="1" t="s">
        <v>38</v>
      </c>
      <c r="X105" s="1" t="s">
        <v>39</v>
      </c>
      <c r="Y105" s="1" t="s">
        <v>40</v>
      </c>
    </row>
    <row r="106" spans="1:25" x14ac:dyDescent="0.3">
      <c r="A106" s="1" t="s">
        <v>174</v>
      </c>
      <c r="B106" s="1" t="s">
        <v>116</v>
      </c>
      <c r="C106" s="1" t="s">
        <v>117</v>
      </c>
      <c r="D106" s="1" t="s">
        <v>48</v>
      </c>
      <c r="E106" s="1" t="s">
        <v>27</v>
      </c>
      <c r="F106" s="1" t="s">
        <v>28</v>
      </c>
      <c r="G106" s="1" t="s">
        <v>69</v>
      </c>
      <c r="H106" s="1">
        <f t="shared" si="1"/>
        <v>4</v>
      </c>
      <c r="I106" s="1" t="s">
        <v>42</v>
      </c>
      <c r="J106" s="1" cm="1">
        <f t="array" ref="J106">_xlfn.SWITCH(I106,"No",0,"Not Sure",1,"Yes",2)</f>
        <v>0</v>
      </c>
      <c r="K106" s="1">
        <v>3</v>
      </c>
      <c r="L106" s="1" t="s">
        <v>42</v>
      </c>
      <c r="M106" s="1" cm="1">
        <f t="array" ref="M106">_xlfn.SWITCH(L106,"No",0,"Not Sure",1,"Yes",2)</f>
        <v>0</v>
      </c>
      <c r="N106" s="1" t="s">
        <v>32</v>
      </c>
      <c r="O106" s="1" cm="1">
        <f t="array" ref="O106">_xlfn.SWITCH(N106,"Less than 4 hours",3,"4 - 6 hours",5,"6 - 8 hours",7,"More than 8 hours",9)</f>
        <v>7</v>
      </c>
      <c r="P106" s="1" t="s">
        <v>43</v>
      </c>
      <c r="Q106" s="1" cm="1">
        <f t="array" ref="Q106">_xlfn.IFS(
    P106="Less than 1 hour", 1,
    P106="1-2 hours", 2,
    P106="2-4 hours", 3,
    P106="More than 4 hours", 4
)</f>
        <v>3</v>
      </c>
      <c r="R106" s="1" t="s">
        <v>80</v>
      </c>
      <c r="S106" s="1" cm="1">
        <f t="array" ref="S106">_xlfn.IFS(
    R106="Never", 1,
    R106="Rarely", 2,
    R106="Once a week", 3,
    R106="A few times a week", 4,
    R106="Daily", 5
)</f>
        <v>4</v>
      </c>
      <c r="T106" s="1" t="s">
        <v>35</v>
      </c>
      <c r="U106" s="1" t="s">
        <v>63</v>
      </c>
      <c r="V106" s="1" t="s">
        <v>45</v>
      </c>
      <c r="W106" s="1" t="s">
        <v>38</v>
      </c>
      <c r="X106" s="1" t="s">
        <v>52</v>
      </c>
      <c r="Y106" s="1" t="s">
        <v>46</v>
      </c>
    </row>
    <row r="107" spans="1:25" x14ac:dyDescent="0.3">
      <c r="A107" s="1" t="s">
        <v>175</v>
      </c>
      <c r="B107" s="1" t="s">
        <v>119</v>
      </c>
      <c r="C107" s="1" t="s">
        <v>120</v>
      </c>
      <c r="D107" s="1" t="s">
        <v>107</v>
      </c>
      <c r="E107" s="1" t="s">
        <v>27</v>
      </c>
      <c r="F107" s="1" t="s">
        <v>49</v>
      </c>
      <c r="G107" s="1" t="s">
        <v>29</v>
      </c>
      <c r="H107" s="1">
        <f t="shared" si="1"/>
        <v>3</v>
      </c>
      <c r="I107" s="1" t="s">
        <v>30</v>
      </c>
      <c r="J107" s="1" cm="1">
        <f t="array" ref="J107">_xlfn.SWITCH(I107,"No",0,"Not Sure",1,"Yes",2)</f>
        <v>2</v>
      </c>
      <c r="K107" s="1">
        <v>4</v>
      </c>
      <c r="L107" s="1" t="s">
        <v>30</v>
      </c>
      <c r="M107" s="1" cm="1">
        <f t="array" ref="M107">_xlfn.SWITCH(L107,"No",0,"Not Sure",1,"Yes",2)</f>
        <v>2</v>
      </c>
      <c r="N107" s="1" t="s">
        <v>32</v>
      </c>
      <c r="O107" s="1" cm="1">
        <f t="array" ref="O107">_xlfn.SWITCH(N107,"Less than 4 hours",3,"4 - 6 hours",5,"6 - 8 hours",7,"More than 8 hours",9)</f>
        <v>7</v>
      </c>
      <c r="P107" s="1" t="s">
        <v>59</v>
      </c>
      <c r="Q107" s="1" cm="1">
        <f t="array" ref="Q107">_xlfn.IFS(
    P107="Less than 1 hour", 1,
    P107="1-2 hours", 2,
    P107="2-4 hours", 3,
    P107="More than 4 hours", 4
)</f>
        <v>2</v>
      </c>
      <c r="R107" s="1" t="s">
        <v>44</v>
      </c>
      <c r="S107" s="1" cm="1">
        <f t="array" ref="S107">_xlfn.IFS(
    R107="Never", 1,
    R107="Rarely", 2,
    R107="Once a week", 3,
    R107="A few times a week", 4,
    R107="Daily", 5
)</f>
        <v>5</v>
      </c>
      <c r="T107" s="1" t="s">
        <v>60</v>
      </c>
      <c r="U107" s="1" t="s">
        <v>56</v>
      </c>
      <c r="V107" s="1" t="s">
        <v>37</v>
      </c>
      <c r="W107" s="1" t="s">
        <v>38</v>
      </c>
      <c r="X107" s="1" t="s">
        <v>39</v>
      </c>
      <c r="Y107" s="1" t="s">
        <v>40</v>
      </c>
    </row>
    <row r="108" spans="1:25" x14ac:dyDescent="0.3">
      <c r="A108" s="1" t="s">
        <v>170</v>
      </c>
      <c r="B108" s="1" t="s">
        <v>83</v>
      </c>
      <c r="C108" s="1" t="s">
        <v>122</v>
      </c>
      <c r="D108" s="1" t="s">
        <v>26</v>
      </c>
      <c r="E108" s="1" t="s">
        <v>58</v>
      </c>
      <c r="F108" s="1" t="s">
        <v>28</v>
      </c>
      <c r="G108" s="1" t="s">
        <v>44</v>
      </c>
      <c r="H108" s="1">
        <f t="shared" si="1"/>
        <v>5</v>
      </c>
      <c r="I108" s="1" t="s">
        <v>30</v>
      </c>
      <c r="J108" s="1" cm="1">
        <f t="array" ref="J108">_xlfn.SWITCH(I108,"No",0,"Not Sure",1,"Yes",2)</f>
        <v>2</v>
      </c>
      <c r="K108" s="1">
        <v>2</v>
      </c>
      <c r="L108" s="1" t="s">
        <v>31</v>
      </c>
      <c r="M108" s="1" cm="1">
        <f t="array" ref="M108">_xlfn.SWITCH(L108,"No",0,"Not Sure",1,"Yes",2)</f>
        <v>1</v>
      </c>
      <c r="N108" s="1" t="s">
        <v>54</v>
      </c>
      <c r="O108" s="1" cm="1">
        <f t="array" ref="O108">_xlfn.SWITCH(N108,"Less than 4 hours",3,"4 - 6 hours",5,"6 - 8 hours",7,"More than 8 hours",9)</f>
        <v>5</v>
      </c>
      <c r="P108" s="1" t="s">
        <v>33</v>
      </c>
      <c r="Q108" s="1" cm="1">
        <f t="array" ref="Q108">_xlfn.IFS(
    P108="Less than 1 hour", 1,
    P108="1-2 hours", 2,
    P108="2-4 hours", 3,
    P108="More than 4 hours", 4
)</f>
        <v>4</v>
      </c>
      <c r="R108" s="1" t="s">
        <v>34</v>
      </c>
      <c r="S108" s="1" cm="1">
        <f t="array" ref="S108">_xlfn.IFS(
    R108="Never", 1,
    R108="Rarely", 2,
    R108="Once a week", 3,
    R108="A few times a week", 4,
    R108="Daily", 5
)</f>
        <v>2</v>
      </c>
      <c r="T108" s="1" t="s">
        <v>55</v>
      </c>
      <c r="U108" s="1" t="s">
        <v>36</v>
      </c>
      <c r="V108" s="1" t="s">
        <v>65</v>
      </c>
      <c r="W108" s="1" t="s">
        <v>38</v>
      </c>
      <c r="X108" s="1" t="s">
        <v>39</v>
      </c>
      <c r="Y108" s="1" t="s">
        <v>46</v>
      </c>
    </row>
    <row r="109" spans="1:25" x14ac:dyDescent="0.3">
      <c r="A109" s="1" t="s">
        <v>123</v>
      </c>
      <c r="B109" s="1" t="s">
        <v>24</v>
      </c>
      <c r="C109" s="1" t="s">
        <v>84</v>
      </c>
      <c r="D109" s="1" t="s">
        <v>48</v>
      </c>
      <c r="E109" s="1" t="s">
        <v>27</v>
      </c>
      <c r="F109" s="1" t="s">
        <v>49</v>
      </c>
      <c r="G109" s="1" t="s">
        <v>69</v>
      </c>
      <c r="H109" s="1">
        <f t="shared" si="1"/>
        <v>4</v>
      </c>
      <c r="I109" s="1" t="s">
        <v>30</v>
      </c>
      <c r="J109" s="1" cm="1">
        <f t="array" ref="J109">_xlfn.SWITCH(I109,"No",0,"Not Sure",1,"Yes",2)</f>
        <v>2</v>
      </c>
      <c r="K109" s="1">
        <v>3</v>
      </c>
      <c r="L109" s="1" t="s">
        <v>30</v>
      </c>
      <c r="M109" s="1" cm="1">
        <f t="array" ref="M109">_xlfn.SWITCH(L109,"No",0,"Not Sure",1,"Yes",2)</f>
        <v>2</v>
      </c>
      <c r="N109" s="1" t="s">
        <v>32</v>
      </c>
      <c r="O109" s="1" cm="1">
        <f t="array" ref="O109">_xlfn.SWITCH(N109,"Less than 4 hours",3,"4 - 6 hours",5,"6 - 8 hours",7,"More than 8 hours",9)</f>
        <v>7</v>
      </c>
      <c r="P109" s="1" t="s">
        <v>43</v>
      </c>
      <c r="Q109" s="1" cm="1">
        <f t="array" ref="Q109">_xlfn.IFS(
    P109="Less than 1 hour", 1,
    P109="1-2 hours", 2,
    P109="2-4 hours", 3,
    P109="More than 4 hours", 4
)</f>
        <v>3</v>
      </c>
      <c r="R109" s="1" t="s">
        <v>79</v>
      </c>
      <c r="S109" s="1" cm="1">
        <f t="array" ref="S109">_xlfn.IFS(
    R109="Never", 1,
    R109="Rarely", 2,
    R109="Once a week", 3,
    R109="A few times a week", 4,
    R109="Daily", 5
)</f>
        <v>1</v>
      </c>
      <c r="T109" s="1" t="s">
        <v>35</v>
      </c>
      <c r="U109" s="1" t="s">
        <v>91</v>
      </c>
      <c r="V109" s="1" t="s">
        <v>45</v>
      </c>
      <c r="W109" s="1" t="s">
        <v>38</v>
      </c>
      <c r="X109" s="1" t="s">
        <v>87</v>
      </c>
      <c r="Y109" s="1" t="s">
        <v>87</v>
      </c>
    </row>
    <row r="110" spans="1:25" x14ac:dyDescent="0.3">
      <c r="A110" s="1" t="s">
        <v>176</v>
      </c>
      <c r="B110" s="1" t="s">
        <v>119</v>
      </c>
      <c r="C110" s="1" t="s">
        <v>125</v>
      </c>
      <c r="D110" s="1" t="s">
        <v>107</v>
      </c>
      <c r="E110" s="1" t="s">
        <v>27</v>
      </c>
      <c r="F110" s="1" t="s">
        <v>28</v>
      </c>
      <c r="G110" s="1" t="s">
        <v>34</v>
      </c>
      <c r="H110" s="1">
        <f t="shared" si="1"/>
        <v>2</v>
      </c>
      <c r="I110" s="1" t="s">
        <v>42</v>
      </c>
      <c r="J110" s="1" cm="1">
        <f t="array" ref="J110">_xlfn.SWITCH(I110,"No",0,"Not Sure",1,"Yes",2)</f>
        <v>0</v>
      </c>
      <c r="K110" s="1">
        <v>5</v>
      </c>
      <c r="L110" s="1" t="s">
        <v>42</v>
      </c>
      <c r="M110" s="1" cm="1">
        <f t="array" ref="M110">_xlfn.SWITCH(L110,"No",0,"Not Sure",1,"Yes",2)</f>
        <v>0</v>
      </c>
      <c r="N110" s="1" t="s">
        <v>67</v>
      </c>
      <c r="O110" s="1" cm="1">
        <f t="array" ref="O110">_xlfn.SWITCH(N110,"Less than 4 hours",3,"4 - 6 hours",5,"6 - 8 hours",7,"More than 8 hours",9)</f>
        <v>9</v>
      </c>
      <c r="P110" s="1" t="s">
        <v>59</v>
      </c>
      <c r="Q110" s="1" cm="1">
        <f t="array" ref="Q110">_xlfn.IFS(
    P110="Less than 1 hour", 1,
    P110="1-2 hours", 2,
    P110="2-4 hours", 3,
    P110="More than 4 hours", 4
)</f>
        <v>2</v>
      </c>
      <c r="R110" s="1" t="s">
        <v>80</v>
      </c>
      <c r="S110" s="1" cm="1">
        <f t="array" ref="S110">_xlfn.IFS(
    R110="Never", 1,
    R110="Rarely", 2,
    R110="Once a week", 3,
    R110="A few times a week", 4,
    R110="Daily", 5
)</f>
        <v>4</v>
      </c>
      <c r="T110" s="1" t="s">
        <v>55</v>
      </c>
      <c r="U110" s="1" t="s">
        <v>63</v>
      </c>
      <c r="V110" s="1" t="s">
        <v>94</v>
      </c>
      <c r="W110" s="1" t="s">
        <v>38</v>
      </c>
      <c r="X110" s="1" t="s">
        <v>46</v>
      </c>
      <c r="Y110" s="1" t="s">
        <v>52</v>
      </c>
    </row>
    <row r="111" spans="1:25" x14ac:dyDescent="0.3">
      <c r="A111" s="1" t="s">
        <v>177</v>
      </c>
      <c r="B111" s="1" t="s">
        <v>116</v>
      </c>
      <c r="C111" s="1" t="s">
        <v>25</v>
      </c>
      <c r="D111" s="1" t="s">
        <v>114</v>
      </c>
      <c r="E111" s="1" t="s">
        <v>58</v>
      </c>
      <c r="F111" s="1" t="s">
        <v>49</v>
      </c>
      <c r="G111" s="1" t="s">
        <v>29</v>
      </c>
      <c r="H111" s="1">
        <f t="shared" si="1"/>
        <v>3</v>
      </c>
      <c r="I111" s="1" t="s">
        <v>31</v>
      </c>
      <c r="J111" s="1" cm="1">
        <f t="array" ref="J111">_xlfn.SWITCH(I111,"No",0,"Not Sure",1,"Yes",2)</f>
        <v>1</v>
      </c>
      <c r="K111" s="1">
        <v>4</v>
      </c>
      <c r="L111" s="1" t="s">
        <v>30</v>
      </c>
      <c r="M111" s="1" cm="1">
        <f t="array" ref="M111">_xlfn.SWITCH(L111,"No",0,"Not Sure",1,"Yes",2)</f>
        <v>2</v>
      </c>
      <c r="N111" s="1" t="s">
        <v>32</v>
      </c>
      <c r="O111" s="1" cm="1">
        <f t="array" ref="O111">_xlfn.SWITCH(N111,"Less than 4 hours",3,"4 - 6 hours",5,"6 - 8 hours",7,"More than 8 hours",9)</f>
        <v>7</v>
      </c>
      <c r="P111" s="1" t="s">
        <v>43</v>
      </c>
      <c r="Q111" s="1" cm="1">
        <f t="array" ref="Q111">_xlfn.IFS(
    P111="Less than 1 hour", 1,
    P111="1-2 hours", 2,
    P111="2-4 hours", 3,
    P111="More than 4 hours", 4
)</f>
        <v>3</v>
      </c>
      <c r="R111" s="1" t="s">
        <v>34</v>
      </c>
      <c r="S111" s="1" cm="1">
        <f t="array" ref="S111">_xlfn.IFS(
    R111="Never", 1,
    R111="Rarely", 2,
    R111="Once a week", 3,
    R111="A few times a week", 4,
    R111="Daily", 5
)</f>
        <v>2</v>
      </c>
      <c r="T111" s="1" t="s">
        <v>35</v>
      </c>
      <c r="U111" s="1" t="s">
        <v>36</v>
      </c>
      <c r="V111" s="1" t="s">
        <v>37</v>
      </c>
      <c r="W111" s="1" t="s">
        <v>38</v>
      </c>
      <c r="X111" s="1" t="s">
        <v>39</v>
      </c>
      <c r="Y111" s="1" t="s">
        <v>46</v>
      </c>
    </row>
    <row r="112" spans="1:25" x14ac:dyDescent="0.3">
      <c r="A112" s="1" t="s">
        <v>134</v>
      </c>
      <c r="B112" s="1" t="s">
        <v>83</v>
      </c>
      <c r="C112" s="1" t="s">
        <v>117</v>
      </c>
      <c r="D112" s="1" t="s">
        <v>26</v>
      </c>
      <c r="E112" s="1" t="s">
        <v>101</v>
      </c>
      <c r="F112" s="1" t="s">
        <v>28</v>
      </c>
      <c r="G112" s="1" t="s">
        <v>44</v>
      </c>
      <c r="H112" s="1">
        <f t="shared" si="1"/>
        <v>5</v>
      </c>
      <c r="I112" s="1" t="s">
        <v>30</v>
      </c>
      <c r="J112" s="1" cm="1">
        <f t="array" ref="J112">_xlfn.SWITCH(I112,"No",0,"Not Sure",1,"Yes",2)</f>
        <v>2</v>
      </c>
      <c r="K112" s="1">
        <v>1</v>
      </c>
      <c r="L112" s="1" t="s">
        <v>30</v>
      </c>
      <c r="M112" s="1" cm="1">
        <f t="array" ref="M112">_xlfn.SWITCH(L112,"No",0,"Not Sure",1,"Yes",2)</f>
        <v>2</v>
      </c>
      <c r="N112" s="1" t="s">
        <v>54</v>
      </c>
      <c r="O112" s="1" cm="1">
        <f t="array" ref="O112">_xlfn.SWITCH(N112,"Less than 4 hours",3,"4 - 6 hours",5,"6 - 8 hours",7,"More than 8 hours",9)</f>
        <v>5</v>
      </c>
      <c r="P112" s="1" t="s">
        <v>59</v>
      </c>
      <c r="Q112" s="1" cm="1">
        <f t="array" ref="Q112">_xlfn.IFS(
    P112="Less than 1 hour", 1,
    P112="1-2 hours", 2,
    P112="2-4 hours", 3,
    P112="More than 4 hours", 4
)</f>
        <v>2</v>
      </c>
      <c r="R112" s="1" t="s">
        <v>44</v>
      </c>
      <c r="S112" s="1" cm="1">
        <f t="array" ref="S112">_xlfn.IFS(
    R112="Never", 1,
    R112="Rarely", 2,
    R112="Once a week", 3,
    R112="A few times a week", 4,
    R112="Daily", 5
)</f>
        <v>5</v>
      </c>
      <c r="T112" s="1" t="s">
        <v>60</v>
      </c>
      <c r="U112" s="1" t="s">
        <v>56</v>
      </c>
      <c r="V112" s="1" t="s">
        <v>51</v>
      </c>
      <c r="W112" s="1" t="s">
        <v>38</v>
      </c>
      <c r="X112" s="1" t="s">
        <v>52</v>
      </c>
      <c r="Y112" s="1" t="s">
        <v>40</v>
      </c>
    </row>
    <row r="113" spans="1:25" x14ac:dyDescent="0.3">
      <c r="A113" s="1" t="s">
        <v>178</v>
      </c>
      <c r="B113" s="1" t="s">
        <v>24</v>
      </c>
      <c r="C113" s="1" t="s">
        <v>120</v>
      </c>
      <c r="D113" s="1" t="s">
        <v>48</v>
      </c>
      <c r="E113" s="1" t="s">
        <v>27</v>
      </c>
      <c r="F113" s="1" t="s">
        <v>49</v>
      </c>
      <c r="G113" s="1" t="s">
        <v>44</v>
      </c>
      <c r="H113" s="1">
        <f t="shared" si="1"/>
        <v>5</v>
      </c>
      <c r="I113" s="1" t="s">
        <v>30</v>
      </c>
      <c r="J113" s="1" cm="1">
        <f t="array" ref="J113">_xlfn.SWITCH(I113,"No",0,"Not Sure",1,"Yes",2)</f>
        <v>2</v>
      </c>
      <c r="K113" s="1">
        <v>2</v>
      </c>
      <c r="L113" s="1" t="s">
        <v>30</v>
      </c>
      <c r="M113" s="1" cm="1">
        <f t="array" ref="M113">_xlfn.SWITCH(L113,"No",0,"Not Sure",1,"Yes",2)</f>
        <v>2</v>
      </c>
      <c r="N113" s="1" t="s">
        <v>54</v>
      </c>
      <c r="O113" s="1" cm="1">
        <f t="array" ref="O113">_xlfn.SWITCH(N113,"Less than 4 hours",3,"4 - 6 hours",5,"6 - 8 hours",7,"More than 8 hours",9)</f>
        <v>5</v>
      </c>
      <c r="P113" s="1" t="s">
        <v>59</v>
      </c>
      <c r="Q113" s="1" cm="1">
        <f t="array" ref="Q113">_xlfn.IFS(
    P113="Less than 1 hour", 1,
    P113="1-2 hours", 2,
    P113="2-4 hours", 3,
    P113="More than 4 hours", 4
)</f>
        <v>2</v>
      </c>
      <c r="R113" s="1" t="s">
        <v>29</v>
      </c>
      <c r="S113" s="1" cm="1">
        <f t="array" ref="S113">_xlfn.IFS(
    R113="Never", 1,
    R113="Rarely", 2,
    R113="Once a week", 3,
    R113="A few times a week", 4,
    R113="Daily", 5
)</f>
        <v>3</v>
      </c>
      <c r="T113" s="1" t="s">
        <v>60</v>
      </c>
      <c r="U113" s="1" t="s">
        <v>36</v>
      </c>
      <c r="V113" s="1" t="s">
        <v>37</v>
      </c>
      <c r="W113" s="1" t="s">
        <v>38</v>
      </c>
      <c r="X113" s="1" t="s">
        <v>39</v>
      </c>
      <c r="Y113" s="1" t="s">
        <v>46</v>
      </c>
    </row>
    <row r="114" spans="1:25" x14ac:dyDescent="0.3">
      <c r="A114" s="1" t="s">
        <v>155</v>
      </c>
      <c r="B114" s="1" t="s">
        <v>119</v>
      </c>
      <c r="C114" s="1" t="s">
        <v>122</v>
      </c>
      <c r="D114" s="1" t="s">
        <v>107</v>
      </c>
      <c r="E114" s="1" t="s">
        <v>58</v>
      </c>
      <c r="F114" s="1" t="s">
        <v>28</v>
      </c>
      <c r="G114" s="1" t="s">
        <v>34</v>
      </c>
      <c r="H114" s="1">
        <f t="shared" si="1"/>
        <v>2</v>
      </c>
      <c r="I114" s="1" t="s">
        <v>42</v>
      </c>
      <c r="J114" s="1" cm="1">
        <f t="array" ref="J114">_xlfn.SWITCH(I114,"No",0,"Not Sure",1,"Yes",2)</f>
        <v>0</v>
      </c>
      <c r="K114" s="1">
        <v>4</v>
      </c>
      <c r="L114" s="1" t="s">
        <v>42</v>
      </c>
      <c r="M114" s="1" cm="1">
        <f t="array" ref="M114">_xlfn.SWITCH(L114,"No",0,"Not Sure",1,"Yes",2)</f>
        <v>0</v>
      </c>
      <c r="N114" s="1" t="s">
        <v>32</v>
      </c>
      <c r="O114" s="1" cm="1">
        <f t="array" ref="O114">_xlfn.SWITCH(N114,"Less than 4 hours",3,"4 - 6 hours",5,"6 - 8 hours",7,"More than 8 hours",9)</f>
        <v>7</v>
      </c>
      <c r="P114" s="1" t="s">
        <v>43</v>
      </c>
      <c r="Q114" s="1" cm="1">
        <f t="array" ref="Q114">_xlfn.IFS(
    P114="Less than 1 hour", 1,
    P114="1-2 hours", 2,
    P114="2-4 hours", 3,
    P114="More than 4 hours", 4
)</f>
        <v>3</v>
      </c>
      <c r="R114" s="1" t="s">
        <v>44</v>
      </c>
      <c r="S114" s="1" cm="1">
        <f t="array" ref="S114">_xlfn.IFS(
    R114="Never", 1,
    R114="Rarely", 2,
    R114="Once a week", 3,
    R114="A few times a week", 4,
    R114="Daily", 5
)</f>
        <v>5</v>
      </c>
      <c r="T114" s="1" t="s">
        <v>35</v>
      </c>
      <c r="U114" s="1" t="s">
        <v>63</v>
      </c>
      <c r="V114" s="1" t="s">
        <v>37</v>
      </c>
      <c r="W114" s="1" t="s">
        <v>38</v>
      </c>
      <c r="X114" s="1" t="s">
        <v>87</v>
      </c>
      <c r="Y114" s="1" t="s">
        <v>52</v>
      </c>
    </row>
    <row r="115" spans="1:25" x14ac:dyDescent="0.3">
      <c r="A115" s="1" t="s">
        <v>179</v>
      </c>
      <c r="B115" s="1" t="s">
        <v>116</v>
      </c>
      <c r="C115" s="1" t="s">
        <v>125</v>
      </c>
      <c r="D115" s="1" t="s">
        <v>48</v>
      </c>
      <c r="E115" s="1" t="s">
        <v>27</v>
      </c>
      <c r="F115" s="1" t="s">
        <v>49</v>
      </c>
      <c r="G115" s="1" t="s">
        <v>69</v>
      </c>
      <c r="H115" s="1">
        <f t="shared" si="1"/>
        <v>4</v>
      </c>
      <c r="I115" s="1" t="s">
        <v>30</v>
      </c>
      <c r="J115" s="1" cm="1">
        <f t="array" ref="J115">_xlfn.SWITCH(I115,"No",0,"Not Sure",1,"Yes",2)</f>
        <v>2</v>
      </c>
      <c r="K115" s="1">
        <v>2</v>
      </c>
      <c r="L115" s="1" t="s">
        <v>30</v>
      </c>
      <c r="M115" s="1" cm="1">
        <f t="array" ref="M115">_xlfn.SWITCH(L115,"No",0,"Not Sure",1,"Yes",2)</f>
        <v>2</v>
      </c>
      <c r="N115" s="1" t="s">
        <v>54</v>
      </c>
      <c r="O115" s="1" cm="1">
        <f t="array" ref="O115">_xlfn.SWITCH(N115,"Less than 4 hours",3,"4 - 6 hours",5,"6 - 8 hours",7,"More than 8 hours",9)</f>
        <v>5</v>
      </c>
      <c r="P115" s="1" t="s">
        <v>33</v>
      </c>
      <c r="Q115" s="1" cm="1">
        <f t="array" ref="Q115">_xlfn.IFS(
    P115="Less than 1 hour", 1,
    P115="1-2 hours", 2,
    P115="2-4 hours", 3,
    P115="More than 4 hours", 4
)</f>
        <v>4</v>
      </c>
      <c r="R115" s="1" t="s">
        <v>34</v>
      </c>
      <c r="S115" s="1" cm="1">
        <f t="array" ref="S115">_xlfn.IFS(
    R115="Never", 1,
    R115="Rarely", 2,
    R115="Once a week", 3,
    R115="A few times a week", 4,
    R115="Daily", 5
)</f>
        <v>2</v>
      </c>
      <c r="T115" s="1" t="s">
        <v>35</v>
      </c>
      <c r="U115" s="1" t="s">
        <v>56</v>
      </c>
      <c r="V115" s="1" t="s">
        <v>51</v>
      </c>
      <c r="W115" s="1" t="s">
        <v>38</v>
      </c>
      <c r="X115" s="1" t="s">
        <v>39</v>
      </c>
      <c r="Y115" s="1" t="s">
        <v>40</v>
      </c>
    </row>
    <row r="116" spans="1:25" x14ac:dyDescent="0.3">
      <c r="A116" s="1" t="s">
        <v>132</v>
      </c>
      <c r="B116" s="1" t="s">
        <v>83</v>
      </c>
      <c r="C116" s="1" t="s">
        <v>25</v>
      </c>
      <c r="D116" s="1" t="s">
        <v>26</v>
      </c>
      <c r="E116" s="1" t="s">
        <v>27</v>
      </c>
      <c r="F116" s="1" t="s">
        <v>28</v>
      </c>
      <c r="G116" s="1" t="s">
        <v>44</v>
      </c>
      <c r="H116" s="1">
        <f t="shared" si="1"/>
        <v>5</v>
      </c>
      <c r="I116" s="1" t="s">
        <v>30</v>
      </c>
      <c r="J116" s="1" cm="1">
        <f t="array" ref="J116">_xlfn.SWITCH(I116,"No",0,"Not Sure",1,"Yes",2)</f>
        <v>2</v>
      </c>
      <c r="K116" s="1">
        <v>1</v>
      </c>
      <c r="L116" s="1" t="s">
        <v>30</v>
      </c>
      <c r="M116" s="1" cm="1">
        <f t="array" ref="M116">_xlfn.SWITCH(L116,"No",0,"Not Sure",1,"Yes",2)</f>
        <v>2</v>
      </c>
      <c r="N116" s="1" t="s">
        <v>54</v>
      </c>
      <c r="O116" s="1" cm="1">
        <f t="array" ref="O116">_xlfn.SWITCH(N116,"Less than 4 hours",3,"4 - 6 hours",5,"6 - 8 hours",7,"More than 8 hours",9)</f>
        <v>5</v>
      </c>
      <c r="P116" s="1" t="s">
        <v>59</v>
      </c>
      <c r="Q116" s="1" cm="1">
        <f t="array" ref="Q116">_xlfn.IFS(
    P116="Less than 1 hour", 1,
    P116="1-2 hours", 2,
    P116="2-4 hours", 3,
    P116="More than 4 hours", 4
)</f>
        <v>2</v>
      </c>
      <c r="R116" s="1" t="s">
        <v>44</v>
      </c>
      <c r="S116" s="1" cm="1">
        <f t="array" ref="S116">_xlfn.IFS(
    R116="Never", 1,
    R116="Rarely", 2,
    R116="Once a week", 3,
    R116="A few times a week", 4,
    R116="Daily", 5
)</f>
        <v>5</v>
      </c>
      <c r="T116" s="1" t="s">
        <v>60</v>
      </c>
      <c r="U116" s="1" t="s">
        <v>63</v>
      </c>
      <c r="V116" s="1" t="s">
        <v>72</v>
      </c>
      <c r="W116" s="1" t="s">
        <v>38</v>
      </c>
      <c r="X116" s="1" t="s">
        <v>52</v>
      </c>
      <c r="Y116" s="1" t="s">
        <v>46</v>
      </c>
    </row>
    <row r="117" spans="1:25" x14ac:dyDescent="0.3">
      <c r="A117" s="1" t="s">
        <v>180</v>
      </c>
      <c r="B117" s="1" t="s">
        <v>24</v>
      </c>
      <c r="C117" s="1" t="s">
        <v>117</v>
      </c>
      <c r="D117" s="1" t="s">
        <v>114</v>
      </c>
      <c r="E117" s="1" t="s">
        <v>58</v>
      </c>
      <c r="F117" s="1" t="s">
        <v>49</v>
      </c>
      <c r="G117" s="1" t="s">
        <v>29</v>
      </c>
      <c r="H117" s="1">
        <f t="shared" si="1"/>
        <v>3</v>
      </c>
      <c r="I117" s="1" t="s">
        <v>31</v>
      </c>
      <c r="J117" s="1" cm="1">
        <f t="array" ref="J117">_xlfn.SWITCH(I117,"No",0,"Not Sure",1,"Yes",2)</f>
        <v>1</v>
      </c>
      <c r="K117" s="1">
        <v>3</v>
      </c>
      <c r="L117" s="1" t="s">
        <v>42</v>
      </c>
      <c r="M117" s="1" cm="1">
        <f t="array" ref="M117">_xlfn.SWITCH(L117,"No",0,"Not Sure",1,"Yes",2)</f>
        <v>0</v>
      </c>
      <c r="N117" s="1" t="s">
        <v>32</v>
      </c>
      <c r="O117" s="1" cm="1">
        <f t="array" ref="O117">_xlfn.SWITCH(N117,"Less than 4 hours",3,"4 - 6 hours",5,"6 - 8 hours",7,"More than 8 hours",9)</f>
        <v>7</v>
      </c>
      <c r="P117" s="1" t="s">
        <v>43</v>
      </c>
      <c r="Q117" s="1" cm="1">
        <f t="array" ref="Q117">_xlfn.IFS(
    P117="Less than 1 hour", 1,
    P117="1-2 hours", 2,
    P117="2-4 hours", 3,
    P117="More than 4 hours", 4
)</f>
        <v>3</v>
      </c>
      <c r="R117" s="1" t="s">
        <v>34</v>
      </c>
      <c r="S117" s="1" cm="1">
        <f t="array" ref="S117">_xlfn.IFS(
    R117="Never", 1,
    R117="Rarely", 2,
    R117="Once a week", 3,
    R117="A few times a week", 4,
    R117="Daily", 5
)</f>
        <v>2</v>
      </c>
      <c r="T117" s="1" t="s">
        <v>35</v>
      </c>
      <c r="U117" s="1" t="s">
        <v>36</v>
      </c>
      <c r="V117" s="1" t="s">
        <v>65</v>
      </c>
      <c r="W117" s="1" t="s">
        <v>38</v>
      </c>
      <c r="X117" s="1" t="s">
        <v>39</v>
      </c>
      <c r="Y117" s="1" t="s">
        <v>46</v>
      </c>
    </row>
    <row r="118" spans="1:25" x14ac:dyDescent="0.3">
      <c r="A118" s="1" t="s">
        <v>181</v>
      </c>
      <c r="B118" s="1" t="s">
        <v>119</v>
      </c>
      <c r="C118" s="1" t="s">
        <v>120</v>
      </c>
      <c r="D118" s="1" t="s">
        <v>107</v>
      </c>
      <c r="E118" s="1" t="s">
        <v>27</v>
      </c>
      <c r="F118" s="1" t="s">
        <v>28</v>
      </c>
      <c r="G118" s="1" t="s">
        <v>44</v>
      </c>
      <c r="H118" s="1">
        <f t="shared" si="1"/>
        <v>5</v>
      </c>
      <c r="I118" s="1" t="s">
        <v>30</v>
      </c>
      <c r="J118" s="1" cm="1">
        <f t="array" ref="J118">_xlfn.SWITCH(I118,"No",0,"Not Sure",1,"Yes",2)</f>
        <v>2</v>
      </c>
      <c r="K118" s="1">
        <v>2</v>
      </c>
      <c r="L118" s="1" t="s">
        <v>30</v>
      </c>
      <c r="M118" s="1" cm="1">
        <f t="array" ref="M118">_xlfn.SWITCH(L118,"No",0,"Not Sure",1,"Yes",2)</f>
        <v>2</v>
      </c>
      <c r="N118" s="1" t="s">
        <v>54</v>
      </c>
      <c r="O118" s="1" cm="1">
        <f t="array" ref="O118">_xlfn.SWITCH(N118,"Less than 4 hours",3,"4 - 6 hours",5,"6 - 8 hours",7,"More than 8 hours",9)</f>
        <v>5</v>
      </c>
      <c r="P118" s="1" t="s">
        <v>59</v>
      </c>
      <c r="Q118" s="1" cm="1">
        <f t="array" ref="Q118">_xlfn.IFS(
    P118="Less than 1 hour", 1,
    P118="1-2 hours", 2,
    P118="2-4 hours", 3,
    P118="More than 4 hours", 4
)</f>
        <v>2</v>
      </c>
      <c r="R118" s="1" t="s">
        <v>29</v>
      </c>
      <c r="S118" s="1" cm="1">
        <f t="array" ref="S118">_xlfn.IFS(
    R118="Never", 1,
    R118="Rarely", 2,
    R118="Once a week", 3,
    R118="A few times a week", 4,
    R118="Daily", 5
)</f>
        <v>3</v>
      </c>
      <c r="T118" s="1" t="s">
        <v>60</v>
      </c>
      <c r="U118" s="1" t="s">
        <v>56</v>
      </c>
      <c r="V118" s="1" t="s">
        <v>37</v>
      </c>
      <c r="W118" s="1" t="s">
        <v>38</v>
      </c>
      <c r="X118" s="1" t="s">
        <v>52</v>
      </c>
      <c r="Y118" s="1" t="s">
        <v>40</v>
      </c>
    </row>
    <row r="119" spans="1:25" x14ac:dyDescent="0.3">
      <c r="A119" s="1" t="s">
        <v>182</v>
      </c>
      <c r="B119" s="1" t="s">
        <v>116</v>
      </c>
      <c r="C119" s="1" t="s">
        <v>122</v>
      </c>
      <c r="D119" s="1" t="s">
        <v>48</v>
      </c>
      <c r="E119" s="1" t="s">
        <v>27</v>
      </c>
      <c r="F119" s="1" t="s">
        <v>49</v>
      </c>
      <c r="G119" s="1" t="s">
        <v>69</v>
      </c>
      <c r="H119" s="1">
        <f t="shared" si="1"/>
        <v>4</v>
      </c>
      <c r="I119" s="1" t="s">
        <v>42</v>
      </c>
      <c r="J119" s="1" cm="1">
        <f t="array" ref="J119">_xlfn.SWITCH(I119,"No",0,"Not Sure",1,"Yes",2)</f>
        <v>0</v>
      </c>
      <c r="K119" s="1">
        <v>4</v>
      </c>
      <c r="L119" s="1" t="s">
        <v>42</v>
      </c>
      <c r="M119" s="1" cm="1">
        <f t="array" ref="M119">_xlfn.SWITCH(L119,"No",0,"Not Sure",1,"Yes",2)</f>
        <v>0</v>
      </c>
      <c r="N119" s="1" t="s">
        <v>32</v>
      </c>
      <c r="O119" s="1" cm="1">
        <f t="array" ref="O119">_xlfn.SWITCH(N119,"Less than 4 hours",3,"4 - 6 hours",5,"6 - 8 hours",7,"More than 8 hours",9)</f>
        <v>7</v>
      </c>
      <c r="P119" s="1" t="s">
        <v>43</v>
      </c>
      <c r="Q119" s="1" cm="1">
        <f t="array" ref="Q119">_xlfn.IFS(
    P119="Less than 1 hour", 1,
    P119="1-2 hours", 2,
    P119="2-4 hours", 3,
    P119="More than 4 hours", 4
)</f>
        <v>3</v>
      </c>
      <c r="R119" s="1" t="s">
        <v>44</v>
      </c>
      <c r="S119" s="1" cm="1">
        <f t="array" ref="S119">_xlfn.IFS(
    R119="Never", 1,
    R119="Rarely", 2,
    R119="Once a week", 3,
    R119="A few times a week", 4,
    R119="Daily", 5
)</f>
        <v>5</v>
      </c>
      <c r="T119" s="1" t="s">
        <v>35</v>
      </c>
      <c r="U119" s="1" t="s">
        <v>63</v>
      </c>
      <c r="V119" s="1" t="s">
        <v>94</v>
      </c>
      <c r="W119" s="1" t="s">
        <v>38</v>
      </c>
      <c r="X119" s="1" t="s">
        <v>87</v>
      </c>
      <c r="Y119" s="1" t="s">
        <v>87</v>
      </c>
    </row>
    <row r="120" spans="1:25" x14ac:dyDescent="0.3">
      <c r="A120" s="1" t="s">
        <v>153</v>
      </c>
      <c r="B120" s="1" t="s">
        <v>83</v>
      </c>
      <c r="C120" s="1" t="s">
        <v>125</v>
      </c>
      <c r="D120" s="1" t="s">
        <v>107</v>
      </c>
      <c r="E120" s="1" t="s">
        <v>58</v>
      </c>
      <c r="F120" s="1" t="s">
        <v>28</v>
      </c>
      <c r="G120" s="1" t="s">
        <v>34</v>
      </c>
      <c r="H120" s="1">
        <f t="shared" si="1"/>
        <v>2</v>
      </c>
      <c r="I120" s="1" t="s">
        <v>30</v>
      </c>
      <c r="J120" s="1" cm="1">
        <f t="array" ref="J120">_xlfn.SWITCH(I120,"No",0,"Not Sure",1,"Yes",2)</f>
        <v>2</v>
      </c>
      <c r="K120" s="1">
        <v>3</v>
      </c>
      <c r="L120" s="1" t="s">
        <v>30</v>
      </c>
      <c r="M120" s="1" cm="1">
        <f t="array" ref="M120">_xlfn.SWITCH(L120,"No",0,"Not Sure",1,"Yes",2)</f>
        <v>2</v>
      </c>
      <c r="N120" s="1" t="s">
        <v>54</v>
      </c>
      <c r="O120" s="1" cm="1">
        <f t="array" ref="O120">_xlfn.SWITCH(N120,"Less than 4 hours",3,"4 - 6 hours",5,"6 - 8 hours",7,"More than 8 hours",9)</f>
        <v>5</v>
      </c>
      <c r="P120" s="1" t="s">
        <v>59</v>
      </c>
      <c r="Q120" s="1" cm="1">
        <f t="array" ref="Q120">_xlfn.IFS(
    P120="Less than 1 hour", 1,
    P120="1-2 hours", 2,
    P120="2-4 hours", 3,
    P120="More than 4 hours", 4
)</f>
        <v>2</v>
      </c>
      <c r="R120" s="1" t="s">
        <v>34</v>
      </c>
      <c r="S120" s="1" cm="1">
        <f t="array" ref="S120">_xlfn.IFS(
    R120="Never", 1,
    R120="Rarely", 2,
    R120="Once a week", 3,
    R120="A few times a week", 4,
    R120="Daily", 5
)</f>
        <v>2</v>
      </c>
      <c r="T120" s="1" t="s">
        <v>60</v>
      </c>
      <c r="U120" s="1" t="s">
        <v>36</v>
      </c>
      <c r="V120" s="1" t="s">
        <v>51</v>
      </c>
      <c r="W120" s="1" t="s">
        <v>38</v>
      </c>
      <c r="X120" s="1" t="s">
        <v>136</v>
      </c>
      <c r="Y120" s="1" t="s">
        <v>46</v>
      </c>
    </row>
    <row r="121" spans="1:25" x14ac:dyDescent="0.3">
      <c r="A121" s="1" t="s">
        <v>183</v>
      </c>
      <c r="B121" s="1" t="s">
        <v>24</v>
      </c>
      <c r="C121" s="1" t="s">
        <v>84</v>
      </c>
      <c r="D121" s="1" t="s">
        <v>26</v>
      </c>
      <c r="E121" s="1" t="s">
        <v>27</v>
      </c>
      <c r="F121" s="1" t="s">
        <v>49</v>
      </c>
      <c r="G121" s="1" t="s">
        <v>44</v>
      </c>
      <c r="H121" s="1">
        <f t="shared" si="1"/>
        <v>5</v>
      </c>
      <c r="I121" s="1" t="s">
        <v>30</v>
      </c>
      <c r="J121" s="1" cm="1">
        <f t="array" ref="J121">_xlfn.SWITCH(I121,"No",0,"Not Sure",1,"Yes",2)</f>
        <v>2</v>
      </c>
      <c r="K121" s="1">
        <v>2</v>
      </c>
      <c r="L121" s="1" t="s">
        <v>30</v>
      </c>
      <c r="M121" s="1" cm="1">
        <f t="array" ref="M121">_xlfn.SWITCH(L121,"No",0,"Not Sure",1,"Yes",2)</f>
        <v>2</v>
      </c>
      <c r="N121" s="1" t="s">
        <v>32</v>
      </c>
      <c r="O121" s="1" cm="1">
        <f t="array" ref="O121">_xlfn.SWITCH(N121,"Less than 4 hours",3,"4 - 6 hours",5,"6 - 8 hours",7,"More than 8 hours",9)</f>
        <v>7</v>
      </c>
      <c r="P121" s="1" t="s">
        <v>43</v>
      </c>
      <c r="Q121" s="1" cm="1">
        <f t="array" ref="Q121">_xlfn.IFS(
    P121="Less than 1 hour", 1,
    P121="1-2 hours", 2,
    P121="2-4 hours", 3,
    P121="More than 4 hours", 4
)</f>
        <v>3</v>
      </c>
      <c r="R121" s="1" t="s">
        <v>29</v>
      </c>
      <c r="S121" s="1" cm="1">
        <f t="array" ref="S121">_xlfn.IFS(
    R121="Never", 1,
    R121="Rarely", 2,
    R121="Once a week", 3,
    R121="A few times a week", 4,
    R121="Daily", 5
)</f>
        <v>3</v>
      </c>
      <c r="T121" s="1" t="s">
        <v>35</v>
      </c>
      <c r="U121" s="1" t="s">
        <v>138</v>
      </c>
      <c r="V121" s="1" t="s">
        <v>37</v>
      </c>
      <c r="W121" s="1" t="s">
        <v>38</v>
      </c>
      <c r="X121" s="1" t="s">
        <v>52</v>
      </c>
      <c r="Y121" s="1" t="s">
        <v>87</v>
      </c>
    </row>
    <row r="122" spans="1:25" x14ac:dyDescent="0.3">
      <c r="A122" s="1" t="s">
        <v>184</v>
      </c>
      <c r="B122" s="1" t="s">
        <v>119</v>
      </c>
      <c r="C122" s="1" t="s">
        <v>25</v>
      </c>
      <c r="D122" s="1" t="s">
        <v>48</v>
      </c>
      <c r="E122" s="1" t="s">
        <v>58</v>
      </c>
      <c r="F122" s="1" t="s">
        <v>28</v>
      </c>
      <c r="G122" s="1" t="s">
        <v>29</v>
      </c>
      <c r="H122" s="1">
        <f t="shared" si="1"/>
        <v>3</v>
      </c>
      <c r="I122" s="1" t="s">
        <v>42</v>
      </c>
      <c r="J122" s="1" cm="1">
        <f t="array" ref="J122">_xlfn.SWITCH(I122,"No",0,"Not Sure",1,"Yes",2)</f>
        <v>0</v>
      </c>
      <c r="K122" s="1">
        <v>5</v>
      </c>
      <c r="L122" s="1" t="s">
        <v>42</v>
      </c>
      <c r="M122" s="1" cm="1">
        <f t="array" ref="M122">_xlfn.SWITCH(L122,"No",0,"Not Sure",1,"Yes",2)</f>
        <v>0</v>
      </c>
      <c r="N122" s="1" t="s">
        <v>32</v>
      </c>
      <c r="O122" s="1" cm="1">
        <f t="array" ref="O122">_xlfn.SWITCH(N122,"Less than 4 hours",3,"4 - 6 hours",5,"6 - 8 hours",7,"More than 8 hours",9)</f>
        <v>7</v>
      </c>
      <c r="P122" s="1" t="s">
        <v>43</v>
      </c>
      <c r="Q122" s="1" cm="1">
        <f t="array" ref="Q122">_xlfn.IFS(
    P122="Less than 1 hour", 1,
    P122="1-2 hours", 2,
    P122="2-4 hours", 3,
    P122="More than 4 hours", 4
)</f>
        <v>3</v>
      </c>
      <c r="R122" s="1" t="s">
        <v>34</v>
      </c>
      <c r="S122" s="1" cm="1">
        <f t="array" ref="S122">_xlfn.IFS(
    R122="Never", 1,
    R122="Rarely", 2,
    R122="Once a week", 3,
    R122="A few times a week", 4,
    R122="Daily", 5
)</f>
        <v>2</v>
      </c>
      <c r="T122" s="1" t="s">
        <v>55</v>
      </c>
      <c r="U122" s="1" t="s">
        <v>36</v>
      </c>
      <c r="V122" s="1" t="s">
        <v>51</v>
      </c>
      <c r="W122" s="1" t="s">
        <v>38</v>
      </c>
      <c r="X122" s="1" t="s">
        <v>140</v>
      </c>
      <c r="Y122" s="1" t="s">
        <v>141</v>
      </c>
    </row>
    <row r="123" spans="1:25" x14ac:dyDescent="0.3">
      <c r="A123" s="1" t="s">
        <v>185</v>
      </c>
      <c r="B123" s="1" t="s">
        <v>116</v>
      </c>
      <c r="C123" s="1" t="s">
        <v>117</v>
      </c>
      <c r="D123" s="1" t="s">
        <v>107</v>
      </c>
      <c r="E123" s="1" t="s">
        <v>27</v>
      </c>
      <c r="F123" s="1" t="s">
        <v>28</v>
      </c>
      <c r="G123" s="1" t="s">
        <v>34</v>
      </c>
      <c r="H123" s="1">
        <f t="shared" si="1"/>
        <v>2</v>
      </c>
      <c r="I123" s="1" t="s">
        <v>31</v>
      </c>
      <c r="J123" s="1" cm="1">
        <f t="array" ref="J123">_xlfn.SWITCH(I123,"No",0,"Not Sure",1,"Yes",2)</f>
        <v>1</v>
      </c>
      <c r="K123" s="1">
        <v>3</v>
      </c>
      <c r="L123" s="1" t="s">
        <v>30</v>
      </c>
      <c r="M123" s="1" cm="1">
        <f t="array" ref="M123">_xlfn.SWITCH(L123,"No",0,"Not Sure",1,"Yes",2)</f>
        <v>2</v>
      </c>
      <c r="N123" s="1" t="s">
        <v>54</v>
      </c>
      <c r="O123" s="1" cm="1">
        <f t="array" ref="O123">_xlfn.SWITCH(N123,"Less than 4 hours",3,"4 - 6 hours",5,"6 - 8 hours",7,"More than 8 hours",9)</f>
        <v>5</v>
      </c>
      <c r="P123" s="1" t="s">
        <v>59</v>
      </c>
      <c r="Q123" s="1" cm="1">
        <f t="array" ref="Q123">_xlfn.IFS(
    P123="Less than 1 hour", 1,
    P123="1-2 hours", 2,
    P123="2-4 hours", 3,
    P123="More than 4 hours", 4
)</f>
        <v>2</v>
      </c>
      <c r="R123" s="1" t="s">
        <v>29</v>
      </c>
      <c r="S123" s="1" cm="1">
        <f t="array" ref="S123">_xlfn.IFS(
    R123="Never", 1,
    R123="Rarely", 2,
    R123="Once a week", 3,
    R123="A few times a week", 4,
    R123="Daily", 5
)</f>
        <v>3</v>
      </c>
      <c r="T123" s="1" t="s">
        <v>35</v>
      </c>
      <c r="U123" s="1" t="s">
        <v>63</v>
      </c>
      <c r="V123" s="1" t="s">
        <v>65</v>
      </c>
      <c r="W123" s="1" t="s">
        <v>38</v>
      </c>
      <c r="X123" s="1" t="s">
        <v>136</v>
      </c>
      <c r="Y123" s="1" t="s">
        <v>87</v>
      </c>
    </row>
    <row r="124" spans="1:25" x14ac:dyDescent="0.3">
      <c r="A124" s="1" t="s">
        <v>186</v>
      </c>
      <c r="B124" s="1" t="s">
        <v>83</v>
      </c>
      <c r="C124" s="1" t="s">
        <v>120</v>
      </c>
      <c r="D124" s="1" t="s">
        <v>26</v>
      </c>
      <c r="E124" s="1" t="s">
        <v>27</v>
      </c>
      <c r="F124" s="1" t="s">
        <v>49</v>
      </c>
      <c r="G124" s="1" t="s">
        <v>44</v>
      </c>
      <c r="H124" s="1">
        <f t="shared" si="1"/>
        <v>5</v>
      </c>
      <c r="I124" s="1" t="s">
        <v>30</v>
      </c>
      <c r="J124" s="1" cm="1">
        <f t="array" ref="J124">_xlfn.SWITCH(I124,"No",0,"Not Sure",1,"Yes",2)</f>
        <v>2</v>
      </c>
      <c r="K124" s="1">
        <v>1</v>
      </c>
      <c r="L124" s="1" t="s">
        <v>30</v>
      </c>
      <c r="M124" s="1" cm="1">
        <f t="array" ref="M124">_xlfn.SWITCH(L124,"No",0,"Not Sure",1,"Yes",2)</f>
        <v>2</v>
      </c>
      <c r="N124" s="1" t="s">
        <v>54</v>
      </c>
      <c r="O124" s="1" cm="1">
        <f t="array" ref="O124">_xlfn.SWITCH(N124,"Less than 4 hours",3,"4 - 6 hours",5,"6 - 8 hours",7,"More than 8 hours",9)</f>
        <v>5</v>
      </c>
      <c r="P124" s="1" t="s">
        <v>59</v>
      </c>
      <c r="Q124" s="1" cm="1">
        <f t="array" ref="Q124">_xlfn.IFS(
    P124="Less than 1 hour", 1,
    P124="1-2 hours", 2,
    P124="2-4 hours", 3,
    P124="More than 4 hours", 4
)</f>
        <v>2</v>
      </c>
      <c r="R124" s="1" t="s">
        <v>34</v>
      </c>
      <c r="S124" s="1" cm="1">
        <f t="array" ref="S124">_xlfn.IFS(
    R124="Never", 1,
    R124="Rarely", 2,
    R124="Once a week", 3,
    R124="A few times a week", 4,
    R124="Daily", 5
)</f>
        <v>2</v>
      </c>
      <c r="T124" s="1" t="s">
        <v>60</v>
      </c>
      <c r="U124" s="1" t="s">
        <v>56</v>
      </c>
      <c r="V124" s="1" t="s">
        <v>37</v>
      </c>
      <c r="W124" s="1" t="s">
        <v>38</v>
      </c>
      <c r="X124" s="1" t="s">
        <v>140</v>
      </c>
      <c r="Y124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22BDA70035 RAJ SINGH</dc:creator>
  <cp:lastModifiedBy>22BDA70035 RAJ SINGH</cp:lastModifiedBy>
  <dcterms:created xsi:type="dcterms:W3CDTF">2015-06-05T18:17:20Z</dcterms:created>
  <dcterms:modified xsi:type="dcterms:W3CDTF">2025-09-16T18:48:47Z</dcterms:modified>
</cp:coreProperties>
</file>